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iwar\Downloads\"/>
    </mc:Choice>
  </mc:AlternateContent>
  <xr:revisionPtr revIDLastSave="0" documentId="11_767C11EF855718657DD91161F53C1DA74ED4957E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_Dictionary" sheetId="1" r:id="rId1"/>
    <sheet name="Unclean_Data" sheetId="2" r:id="rId2"/>
    <sheet name="Excel_Sta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" i="3" l="1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K13" i="3" l="1"/>
  <c r="L13" i="3" s="1"/>
  <c r="N13" i="3" s="1"/>
  <c r="M13" i="3"/>
  <c r="K12" i="3"/>
  <c r="K11" i="3"/>
  <c r="K10" i="3"/>
  <c r="K9" i="3"/>
  <c r="K8" i="3"/>
  <c r="L8" i="3" s="1"/>
  <c r="N8" i="3" s="1"/>
  <c r="M8" i="3"/>
  <c r="K7" i="3"/>
  <c r="L7" i="3" s="1"/>
  <c r="N7" i="3" s="1"/>
  <c r="M7" i="3"/>
  <c r="K6" i="3"/>
  <c r="K5" i="3"/>
  <c r="L12" i="3" l="1"/>
  <c r="M12" i="3"/>
  <c r="N12" i="3" s="1"/>
  <c r="L11" i="3"/>
  <c r="M11" i="3"/>
  <c r="N11" i="3" s="1"/>
  <c r="L10" i="3"/>
  <c r="M10" i="3"/>
  <c r="N10" i="3" s="1"/>
  <c r="L9" i="3"/>
  <c r="M9" i="3"/>
  <c r="N9" i="3" s="1"/>
  <c r="L6" i="3"/>
  <c r="M6" i="3"/>
  <c r="N6" i="3" s="1"/>
  <c r="L5" i="3"/>
  <c r="M5" i="3"/>
  <c r="N5" i="3" s="1"/>
</calcChain>
</file>

<file path=xl/sharedStrings.xml><?xml version="1.0" encoding="utf-8"?>
<sst xmlns="http://schemas.openxmlformats.org/spreadsheetml/2006/main" count="329" uniqueCount="185">
  <si>
    <t>SkyBridge Airways - Daily Flight Log (1 Jan to 30 Apr 2026, 120 days)</t>
  </si>
  <si>
    <t>One flagship departure from Delhi recorded per day. Aircraft capacity = 180 seats. Customer rating scale = 1 to 5.</t>
  </si>
  <si>
    <t>Variable</t>
  </si>
  <si>
    <t>Type</t>
  </si>
  <si>
    <t>Meaning</t>
  </si>
  <si>
    <t>Unit / Valid range</t>
  </si>
  <si>
    <t>Date</t>
  </si>
  <si>
    <t>Date (time series)</t>
  </si>
  <si>
    <t>Day of departure</t>
  </si>
  <si>
    <t>Daily, 1 Jan - 30 Apr 2026</t>
  </si>
  <si>
    <t>Flight_ID</t>
  </si>
  <si>
    <t>Text (ID)</t>
  </si>
  <si>
    <t>Unique flight code</t>
  </si>
  <si>
    <t>SB-001 to SB-120</t>
  </si>
  <si>
    <t>Route</t>
  </si>
  <si>
    <t>Category</t>
  </si>
  <si>
    <t>Destination sector from Delhi</t>
  </si>
  <si>
    <t>Mumbai / Bengaluru / Goa</t>
  </si>
  <si>
    <t>Passengers</t>
  </si>
  <si>
    <t>Numeric</t>
  </si>
  <si>
    <t>Passengers who flew</t>
  </si>
  <si>
    <t>Count, 0 to 180</t>
  </si>
  <si>
    <t>Ticket_Price</t>
  </si>
  <si>
    <t>Average fare paid per passenger</t>
  </si>
  <si>
    <t>INR</t>
  </si>
  <si>
    <t>Delay_Minutes</t>
  </si>
  <si>
    <t>Departure delay</t>
  </si>
  <si>
    <t>Minutes, 0 or more</t>
  </si>
  <si>
    <t>Flight_Duration_Min</t>
  </si>
  <si>
    <t>Gate-to-gate flying time</t>
  </si>
  <si>
    <t>Minutes</t>
  </si>
  <si>
    <t>Fuel_Cost</t>
  </si>
  <si>
    <t>Fuel cost for the flight</t>
  </si>
  <si>
    <t>INR thousand</t>
  </si>
  <si>
    <t>Ancillary_Revenue</t>
  </si>
  <si>
    <t>Bags, meals, seat selection revenue</t>
  </si>
  <si>
    <t>Baggage_Complaints</t>
  </si>
  <si>
    <t>Numeric (count)</t>
  </si>
  <si>
    <t>Baggage complaints logged for the flight</t>
  </si>
  <si>
    <t>Count</t>
  </si>
  <si>
    <t>Customer_Rating</t>
  </si>
  <si>
    <t>Average passenger satisfaction</t>
  </si>
  <si>
    <t>Scale 1 to 5</t>
  </si>
  <si>
    <t>Crew_Overtime_Hours</t>
  </si>
  <si>
    <t>Total crew overtime for the flight</t>
  </si>
  <si>
    <t>Hours</t>
  </si>
  <si>
    <t>Sheets: Unclean_Data (raw data with blanks and unusual values) | Excel_Stats (Excel formulas on the raw data). Cleaning is done in the Python (Colab) notebook.</t>
  </si>
  <si>
    <t>In Unclean_Data, red-shaded cells are blank (missing) values.</t>
  </si>
  <si>
    <t>SB-001</t>
  </si>
  <si>
    <t>Delhi-Mumbai</t>
  </si>
  <si>
    <t>SB-002</t>
  </si>
  <si>
    <t>Delhi-Bengaluru</t>
  </si>
  <si>
    <t>SB-003</t>
  </si>
  <si>
    <t>SB-004</t>
  </si>
  <si>
    <t>SB-005</t>
  </si>
  <si>
    <t>SB-006</t>
  </si>
  <si>
    <t>Delhi-Goa</t>
  </si>
  <si>
    <t>SB-007</t>
  </si>
  <si>
    <t>SB-008</t>
  </si>
  <si>
    <t>SB-009</t>
  </si>
  <si>
    <t>SB-010</t>
  </si>
  <si>
    <t>SB-011</t>
  </si>
  <si>
    <t>SB-012</t>
  </si>
  <si>
    <t>SB-013</t>
  </si>
  <si>
    <t>SB-014</t>
  </si>
  <si>
    <t>SB-015</t>
  </si>
  <si>
    <t>SB-016</t>
  </si>
  <si>
    <t>SB-017</t>
  </si>
  <si>
    <t>SB-018</t>
  </si>
  <si>
    <t>SB-019</t>
  </si>
  <si>
    <t>SB-020</t>
  </si>
  <si>
    <t>SB-021</t>
  </si>
  <si>
    <t>SB-022</t>
  </si>
  <si>
    <t>SB-023</t>
  </si>
  <si>
    <t>SB-024</t>
  </si>
  <si>
    <t>SB-025</t>
  </si>
  <si>
    <t>SB-026</t>
  </si>
  <si>
    <t>SB-027</t>
  </si>
  <si>
    <t>SB-028</t>
  </si>
  <si>
    <t>SB-029</t>
  </si>
  <si>
    <t>SB-030</t>
  </si>
  <si>
    <t>SB-031</t>
  </si>
  <si>
    <t>SB-032</t>
  </si>
  <si>
    <t>SB-033</t>
  </si>
  <si>
    <t>SB-034</t>
  </si>
  <si>
    <t>SB-035</t>
  </si>
  <si>
    <t>SB-036</t>
  </si>
  <si>
    <t>SB-037</t>
  </si>
  <si>
    <t>SB-038</t>
  </si>
  <si>
    <t>SB-039</t>
  </si>
  <si>
    <t>SB-040</t>
  </si>
  <si>
    <t>SB-041</t>
  </si>
  <si>
    <t>SB-042</t>
  </si>
  <si>
    <t>SB-043</t>
  </si>
  <si>
    <t>SB-044</t>
  </si>
  <si>
    <t>SB-045</t>
  </si>
  <si>
    <t>SB-046</t>
  </si>
  <si>
    <t>SB-047</t>
  </si>
  <si>
    <t>SB-048</t>
  </si>
  <si>
    <t>SB-049</t>
  </si>
  <si>
    <t>SB-050</t>
  </si>
  <si>
    <t>SB-051</t>
  </si>
  <si>
    <t>SB-052</t>
  </si>
  <si>
    <t>SB-053</t>
  </si>
  <si>
    <t>SB-054</t>
  </si>
  <si>
    <t>SB-055</t>
  </si>
  <si>
    <t>SB-056</t>
  </si>
  <si>
    <t>SB-057</t>
  </si>
  <si>
    <t>SB-058</t>
  </si>
  <si>
    <t>SB-059</t>
  </si>
  <si>
    <t>SB-060</t>
  </si>
  <si>
    <t>SB-061</t>
  </si>
  <si>
    <t>SB-062</t>
  </si>
  <si>
    <t>SB-063</t>
  </si>
  <si>
    <t>SB-064</t>
  </si>
  <si>
    <t>SB-065</t>
  </si>
  <si>
    <t>SB-066</t>
  </si>
  <si>
    <t>SB-067</t>
  </si>
  <si>
    <t>SB-068</t>
  </si>
  <si>
    <t>SB-069</t>
  </si>
  <si>
    <t>SB-070</t>
  </si>
  <si>
    <t>SB-071</t>
  </si>
  <si>
    <t>SB-072</t>
  </si>
  <si>
    <t>SB-073</t>
  </si>
  <si>
    <t>SB-074</t>
  </si>
  <si>
    <t>SB-075</t>
  </si>
  <si>
    <t>SB-076</t>
  </si>
  <si>
    <t>SB-077</t>
  </si>
  <si>
    <t>SB-078</t>
  </si>
  <si>
    <t>SB-079</t>
  </si>
  <si>
    <t>SB-080</t>
  </si>
  <si>
    <t>SB-081</t>
  </si>
  <si>
    <t>SB-082</t>
  </si>
  <si>
    <t>SB-083</t>
  </si>
  <si>
    <t>SB-084</t>
  </si>
  <si>
    <t>SB-085</t>
  </si>
  <si>
    <t>SB-086</t>
  </si>
  <si>
    <t>SB-087</t>
  </si>
  <si>
    <t>SB-088</t>
  </si>
  <si>
    <t>SB-089</t>
  </si>
  <si>
    <t>SB-090</t>
  </si>
  <si>
    <t>SB-091</t>
  </si>
  <si>
    <t>SB-092</t>
  </si>
  <si>
    <t>SB-093</t>
  </si>
  <si>
    <t>SB-094</t>
  </si>
  <si>
    <t>SB-095</t>
  </si>
  <si>
    <t>SB-096</t>
  </si>
  <si>
    <t>SB-097</t>
  </si>
  <si>
    <t>SB-098</t>
  </si>
  <si>
    <t>SB-099</t>
  </si>
  <si>
    <t>SB-100</t>
  </si>
  <si>
    <t>SB-101</t>
  </si>
  <si>
    <t>SB-102</t>
  </si>
  <si>
    <t>SB-103</t>
  </si>
  <si>
    <t>SB-104</t>
  </si>
  <si>
    <t>SB-105</t>
  </si>
  <si>
    <t>SB-106</t>
  </si>
  <si>
    <t>SB-107</t>
  </si>
  <si>
    <t>SB-108</t>
  </si>
  <si>
    <t>SB-109</t>
  </si>
  <si>
    <t>SB-110</t>
  </si>
  <si>
    <t>SB-111</t>
  </si>
  <si>
    <t>SB-112</t>
  </si>
  <si>
    <t>SB-113</t>
  </si>
  <si>
    <t>SB-114</t>
  </si>
  <si>
    <t>SB-115</t>
  </si>
  <si>
    <t>SB-116</t>
  </si>
  <si>
    <t>SB-117</t>
  </si>
  <si>
    <t>SB-118</t>
  </si>
  <si>
    <t>SB-119</t>
  </si>
  <si>
    <t>SB-120</t>
  </si>
  <si>
    <t>Descriptive statistics of Unclean_Data (live Excel formulas)</t>
  </si>
  <si>
    <t>Outlier rule: below Q1 - 1.5 x IQR or above Q3 + 1.5 x IQR. Blank cells are ignored by Excel functions.</t>
  </si>
  <si>
    <t>Missing</t>
  </si>
  <si>
    <t>Mean</t>
  </si>
  <si>
    <t>Median</t>
  </si>
  <si>
    <t>Std Dev</t>
  </si>
  <si>
    <t>Min</t>
  </si>
  <si>
    <t>Q1</t>
  </si>
  <si>
    <t>Q3</t>
  </si>
  <si>
    <t>Max</t>
  </si>
  <si>
    <t>IQR</t>
  </si>
  <si>
    <t>Lower Fence</t>
  </si>
  <si>
    <t>Upper Fence</t>
  </si>
  <si>
    <t>#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</si>
</sst>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  <xf numFmtId="0" fontId="3" fillId="2" borderId="1" xfId="0" applyFont="1" applyFill="1" applyBorder="1" applyAlignment="1">
      <alignment horizontal="center" wrapText="1"/>
    </xf>
    <xf numFmtId="4" fontId="4" fillId="0" borderId="1" xfId="0" applyNumberFormat="1" applyFont="1" applyBorder="1"/>
  </cellXfs>
  <cellStyles count="1">
    <cellStyle name="Normal" xfId="0" builtinId="0"/>
  </cellStyles>
  <dxfs count="1"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/>
  </sheetViews>
  <sheetFormatPr defaultColWidth="8.6640625" defaultRowHeight="14.4" x14ac:dyDescent="0.3"/>
  <cols>
    <col min="1" max="1" width="24" customWidth="1"/>
    <col min="2" max="2" width="20" customWidth="1"/>
    <col min="3" max="3" width="44" customWidth="1"/>
    <col min="4" max="4" width="30" customWidth="1"/>
  </cols>
  <sheetData>
    <row r="1" spans="1:4" ht="16.8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3">
      <c r="A6" s="4" t="s">
        <v>10</v>
      </c>
      <c r="B6" s="4" t="s">
        <v>11</v>
      </c>
      <c r="C6" s="4" t="s">
        <v>12</v>
      </c>
      <c r="D6" s="4" t="s">
        <v>13</v>
      </c>
    </row>
    <row r="7" spans="1:4" x14ac:dyDescent="0.3">
      <c r="A7" s="4" t="s">
        <v>14</v>
      </c>
      <c r="B7" s="4" t="s">
        <v>15</v>
      </c>
      <c r="C7" s="4" t="s">
        <v>16</v>
      </c>
      <c r="D7" s="4" t="s">
        <v>17</v>
      </c>
    </row>
    <row r="8" spans="1:4" x14ac:dyDescent="0.3">
      <c r="A8" s="4" t="s">
        <v>18</v>
      </c>
      <c r="B8" s="4" t="s">
        <v>19</v>
      </c>
      <c r="C8" s="4" t="s">
        <v>20</v>
      </c>
      <c r="D8" s="4" t="s">
        <v>21</v>
      </c>
    </row>
    <row r="9" spans="1:4" x14ac:dyDescent="0.3">
      <c r="A9" s="4" t="s">
        <v>22</v>
      </c>
      <c r="B9" s="4" t="s">
        <v>19</v>
      </c>
      <c r="C9" s="4" t="s">
        <v>23</v>
      </c>
      <c r="D9" s="4" t="s">
        <v>24</v>
      </c>
    </row>
    <row r="10" spans="1:4" x14ac:dyDescent="0.3">
      <c r="A10" s="4" t="s">
        <v>25</v>
      </c>
      <c r="B10" s="4" t="s">
        <v>19</v>
      </c>
      <c r="C10" s="4" t="s">
        <v>26</v>
      </c>
      <c r="D10" s="4" t="s">
        <v>27</v>
      </c>
    </row>
    <row r="11" spans="1:4" x14ac:dyDescent="0.3">
      <c r="A11" s="4" t="s">
        <v>28</v>
      </c>
      <c r="B11" s="4" t="s">
        <v>19</v>
      </c>
      <c r="C11" s="4" t="s">
        <v>29</v>
      </c>
      <c r="D11" s="4" t="s">
        <v>30</v>
      </c>
    </row>
    <row r="12" spans="1:4" x14ac:dyDescent="0.3">
      <c r="A12" s="4" t="s">
        <v>31</v>
      </c>
      <c r="B12" s="4" t="s">
        <v>19</v>
      </c>
      <c r="C12" s="4" t="s">
        <v>32</v>
      </c>
      <c r="D12" s="4" t="s">
        <v>33</v>
      </c>
    </row>
    <row r="13" spans="1:4" x14ac:dyDescent="0.3">
      <c r="A13" s="4" t="s">
        <v>34</v>
      </c>
      <c r="B13" s="4" t="s">
        <v>19</v>
      </c>
      <c r="C13" s="4" t="s">
        <v>35</v>
      </c>
      <c r="D13" s="4" t="s">
        <v>24</v>
      </c>
    </row>
    <row r="14" spans="1:4" x14ac:dyDescent="0.3">
      <c r="A14" s="4" t="s">
        <v>36</v>
      </c>
      <c r="B14" s="4" t="s">
        <v>37</v>
      </c>
      <c r="C14" s="4" t="s">
        <v>38</v>
      </c>
      <c r="D14" s="4" t="s">
        <v>39</v>
      </c>
    </row>
    <row r="15" spans="1:4" x14ac:dyDescent="0.3">
      <c r="A15" s="4" t="s">
        <v>40</v>
      </c>
      <c r="B15" s="4" t="s">
        <v>19</v>
      </c>
      <c r="C15" s="4" t="s">
        <v>41</v>
      </c>
      <c r="D15" s="4" t="s">
        <v>42</v>
      </c>
    </row>
    <row r="16" spans="1:4" x14ac:dyDescent="0.3">
      <c r="A16" s="4" t="s">
        <v>43</v>
      </c>
      <c r="B16" s="4" t="s">
        <v>19</v>
      </c>
      <c r="C16" s="4" t="s">
        <v>44</v>
      </c>
      <c r="D16" s="4" t="s">
        <v>45</v>
      </c>
    </row>
    <row r="18" spans="1:1" x14ac:dyDescent="0.3">
      <c r="A18" s="2" t="s">
        <v>46</v>
      </c>
    </row>
    <row r="19" spans="1:1" x14ac:dyDescent="0.3">
      <c r="A19" s="5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4" customWidth="1"/>
    <col min="2" max="4" width="13" customWidth="1"/>
    <col min="5" max="5" width="15" customWidth="1"/>
    <col min="6" max="6" width="16" customWidth="1"/>
    <col min="7" max="7" width="22" customWidth="1"/>
    <col min="8" max="8" width="13" customWidth="1"/>
    <col min="9" max="9" width="20" customWidth="1"/>
    <col min="10" max="10" width="21" customWidth="1"/>
    <col min="11" max="11" width="18" customWidth="1"/>
    <col min="12" max="12" width="22" customWidth="1"/>
  </cols>
  <sheetData>
    <row r="1" spans="1:12" ht="31.5" customHeight="1" x14ac:dyDescent="0.3">
      <c r="A1" s="6" t="s">
        <v>6</v>
      </c>
      <c r="B1" s="6" t="s">
        <v>10</v>
      </c>
      <c r="C1" s="6" t="s">
        <v>14</v>
      </c>
      <c r="D1" s="6" t="s">
        <v>18</v>
      </c>
      <c r="E1" s="6" t="s">
        <v>22</v>
      </c>
      <c r="F1" s="6" t="s">
        <v>25</v>
      </c>
      <c r="G1" s="6" t="s">
        <v>28</v>
      </c>
      <c r="H1" s="6" t="s">
        <v>31</v>
      </c>
      <c r="I1" s="6" t="s">
        <v>34</v>
      </c>
      <c r="J1" s="6" t="s">
        <v>36</v>
      </c>
      <c r="K1" s="6" t="s">
        <v>40</v>
      </c>
      <c r="L1" s="6" t="s">
        <v>43</v>
      </c>
    </row>
    <row r="2" spans="1:12" x14ac:dyDescent="0.3">
      <c r="A2" s="7">
        <v>46023</v>
      </c>
      <c r="B2" s="8" t="s">
        <v>48</v>
      </c>
      <c r="C2" s="8" t="s">
        <v>49</v>
      </c>
      <c r="D2" s="8">
        <v>143</v>
      </c>
      <c r="E2" s="9">
        <v>5650</v>
      </c>
      <c r="F2" s="8">
        <v>26</v>
      </c>
      <c r="G2" s="8">
        <v>133</v>
      </c>
      <c r="H2" s="8">
        <v>429</v>
      </c>
      <c r="I2" s="9">
        <v>60600</v>
      </c>
      <c r="J2" s="8">
        <v>2</v>
      </c>
      <c r="K2" s="10">
        <v>3.9</v>
      </c>
      <c r="L2" s="10"/>
    </row>
    <row r="3" spans="1:12" x14ac:dyDescent="0.3">
      <c r="A3" s="7">
        <v>46024</v>
      </c>
      <c r="B3" s="8" t="s">
        <v>50</v>
      </c>
      <c r="C3" s="8" t="s">
        <v>51</v>
      </c>
      <c r="D3" s="8">
        <v>158</v>
      </c>
      <c r="E3" s="9">
        <v>7200</v>
      </c>
      <c r="F3" s="8">
        <v>18</v>
      </c>
      <c r="G3" s="8">
        <v>163</v>
      </c>
      <c r="H3" s="8">
        <v>528</v>
      </c>
      <c r="I3" s="9">
        <v>67600</v>
      </c>
      <c r="J3" s="8">
        <v>3</v>
      </c>
      <c r="K3" s="10">
        <v>4.0999999999999996</v>
      </c>
      <c r="L3" s="10">
        <v>6.3</v>
      </c>
    </row>
    <row r="4" spans="1:12" x14ac:dyDescent="0.3">
      <c r="A4" s="7">
        <v>46025</v>
      </c>
      <c r="B4" s="8" t="s">
        <v>52</v>
      </c>
      <c r="C4" s="8" t="s">
        <v>51</v>
      </c>
      <c r="D4" s="8">
        <v>178</v>
      </c>
      <c r="E4" s="9">
        <v>6200</v>
      </c>
      <c r="F4" s="8">
        <v>6</v>
      </c>
      <c r="G4" s="8">
        <v>169</v>
      </c>
      <c r="H4" s="8">
        <v>585</v>
      </c>
      <c r="I4" s="9">
        <v>71700</v>
      </c>
      <c r="J4" s="8">
        <v>3</v>
      </c>
      <c r="K4" s="10">
        <v>4.4000000000000004</v>
      </c>
      <c r="L4" s="10">
        <v>5.3</v>
      </c>
    </row>
    <row r="5" spans="1:12" x14ac:dyDescent="0.3">
      <c r="A5" s="7">
        <v>46026</v>
      </c>
      <c r="B5" s="8" t="s">
        <v>53</v>
      </c>
      <c r="C5" s="8" t="s">
        <v>49</v>
      </c>
      <c r="D5" s="8">
        <v>145</v>
      </c>
      <c r="E5" s="9">
        <v>5800</v>
      </c>
      <c r="F5" s="8">
        <v>9</v>
      </c>
      <c r="G5" s="8">
        <v>131</v>
      </c>
      <c r="H5" s="8">
        <v>433</v>
      </c>
      <c r="I5" s="9">
        <v>61400</v>
      </c>
      <c r="J5" s="8">
        <v>4</v>
      </c>
      <c r="K5" s="10">
        <v>4.0999999999999996</v>
      </c>
      <c r="L5" s="10">
        <v>4</v>
      </c>
    </row>
    <row r="6" spans="1:12" x14ac:dyDescent="0.3">
      <c r="A6" s="7">
        <v>46027</v>
      </c>
      <c r="B6" s="8" t="s">
        <v>54</v>
      </c>
      <c r="C6" s="8" t="s">
        <v>49</v>
      </c>
      <c r="D6" s="8">
        <v>159</v>
      </c>
      <c r="E6" s="9">
        <v>5450</v>
      </c>
      <c r="F6" s="8">
        <v>18</v>
      </c>
      <c r="G6" s="8">
        <v>130</v>
      </c>
      <c r="H6" s="8">
        <v>428</v>
      </c>
      <c r="I6" s="9">
        <v>70000</v>
      </c>
      <c r="J6" s="8">
        <v>2</v>
      </c>
      <c r="K6" s="10">
        <v>4</v>
      </c>
      <c r="L6" s="10">
        <v>8.6999999999999993</v>
      </c>
    </row>
    <row r="7" spans="1:12" x14ac:dyDescent="0.3">
      <c r="A7" s="7">
        <v>46028</v>
      </c>
      <c r="B7" s="8" t="s">
        <v>55</v>
      </c>
      <c r="C7" s="8" t="s">
        <v>56</v>
      </c>
      <c r="D7" s="8">
        <v>161</v>
      </c>
      <c r="E7" s="9">
        <v>5950</v>
      </c>
      <c r="F7" s="8">
        <v>9</v>
      </c>
      <c r="G7" s="8">
        <v>173</v>
      </c>
      <c r="H7" s="8">
        <v>568</v>
      </c>
      <c r="I7" s="9">
        <v>63300</v>
      </c>
      <c r="J7" s="8">
        <v>5</v>
      </c>
      <c r="K7" s="10">
        <v>4</v>
      </c>
      <c r="L7" s="10">
        <v>4.8</v>
      </c>
    </row>
    <row r="8" spans="1:12" x14ac:dyDescent="0.3">
      <c r="A8" s="7">
        <v>46029</v>
      </c>
      <c r="B8" s="8" t="s">
        <v>57</v>
      </c>
      <c r="C8" s="8" t="s">
        <v>56</v>
      </c>
      <c r="D8" s="8">
        <v>156</v>
      </c>
      <c r="E8" s="9">
        <v>6450</v>
      </c>
      <c r="F8" s="8">
        <v>22</v>
      </c>
      <c r="G8" s="8">
        <v>166</v>
      </c>
      <c r="H8" s="8">
        <v>554</v>
      </c>
      <c r="I8" s="9">
        <v>51600</v>
      </c>
      <c r="J8" s="8">
        <v>2</v>
      </c>
      <c r="K8" s="10">
        <v>4.4000000000000004</v>
      </c>
      <c r="L8" s="10"/>
    </row>
    <row r="9" spans="1:12" x14ac:dyDescent="0.3">
      <c r="A9" s="7">
        <v>46030</v>
      </c>
      <c r="B9" s="8" t="s">
        <v>58</v>
      </c>
      <c r="C9" s="8" t="s">
        <v>49</v>
      </c>
      <c r="D9" s="8">
        <v>163</v>
      </c>
      <c r="E9" s="9">
        <v>5950</v>
      </c>
      <c r="F9" s="8">
        <v>8</v>
      </c>
      <c r="G9" s="8"/>
      <c r="H9" s="8">
        <v>422</v>
      </c>
      <c r="I9" s="9">
        <v>67700</v>
      </c>
      <c r="J9" s="8">
        <v>0</v>
      </c>
      <c r="K9" s="10">
        <v>4</v>
      </c>
      <c r="L9" s="10">
        <v>7.4</v>
      </c>
    </row>
    <row r="10" spans="1:12" x14ac:dyDescent="0.3">
      <c r="A10" s="7">
        <v>46031</v>
      </c>
      <c r="B10" s="8" t="s">
        <v>59</v>
      </c>
      <c r="C10" s="8" t="s">
        <v>51</v>
      </c>
      <c r="D10" s="8">
        <v>152</v>
      </c>
      <c r="E10" s="9">
        <v>6900</v>
      </c>
      <c r="F10" s="8">
        <v>10</v>
      </c>
      <c r="G10" s="8">
        <v>165</v>
      </c>
      <c r="H10" s="8">
        <v>545</v>
      </c>
      <c r="I10" s="9">
        <v>52500</v>
      </c>
      <c r="J10" s="8">
        <v>4</v>
      </c>
      <c r="K10" s="10">
        <v>4.4000000000000004</v>
      </c>
      <c r="L10" s="10">
        <v>5.5</v>
      </c>
    </row>
    <row r="11" spans="1:12" x14ac:dyDescent="0.3">
      <c r="A11" s="7">
        <v>46032</v>
      </c>
      <c r="B11" s="8" t="s">
        <v>60</v>
      </c>
      <c r="C11" s="8" t="s">
        <v>49</v>
      </c>
      <c r="D11" s="8">
        <v>150</v>
      </c>
      <c r="E11" s="9">
        <v>5800</v>
      </c>
      <c r="F11" s="8"/>
      <c r="G11" s="8">
        <v>129</v>
      </c>
      <c r="H11" s="8">
        <v>441</v>
      </c>
      <c r="I11" s="9">
        <v>66800</v>
      </c>
      <c r="J11" s="8">
        <v>4</v>
      </c>
      <c r="K11" s="10">
        <v>3.6</v>
      </c>
      <c r="L11" s="10">
        <v>8.6</v>
      </c>
    </row>
    <row r="12" spans="1:12" x14ac:dyDescent="0.3">
      <c r="A12" s="7">
        <v>46033</v>
      </c>
      <c r="B12" s="8" t="s">
        <v>61</v>
      </c>
      <c r="C12" s="8" t="s">
        <v>56</v>
      </c>
      <c r="D12" s="8">
        <v>170</v>
      </c>
      <c r="E12" s="9">
        <v>5950</v>
      </c>
      <c r="F12" s="8">
        <v>15</v>
      </c>
      <c r="G12" s="8">
        <v>162</v>
      </c>
      <c r="H12" s="8">
        <v>530</v>
      </c>
      <c r="I12" s="9"/>
      <c r="J12" s="8">
        <v>5</v>
      </c>
      <c r="K12" s="10">
        <v>3.6</v>
      </c>
      <c r="L12" s="10">
        <v>6.1</v>
      </c>
    </row>
    <row r="13" spans="1:12" x14ac:dyDescent="0.3">
      <c r="A13" s="7">
        <v>46034</v>
      </c>
      <c r="B13" s="8" t="s">
        <v>62</v>
      </c>
      <c r="C13" s="8" t="s">
        <v>56</v>
      </c>
      <c r="D13" s="8">
        <v>159</v>
      </c>
      <c r="E13" s="9">
        <v>5450</v>
      </c>
      <c r="F13" s="8">
        <v>28</v>
      </c>
      <c r="G13" s="8">
        <v>174</v>
      </c>
      <c r="H13" s="8">
        <v>541</v>
      </c>
      <c r="I13" s="9">
        <v>57500</v>
      </c>
      <c r="J13" s="8">
        <v>3</v>
      </c>
      <c r="K13" s="10">
        <v>3.9</v>
      </c>
      <c r="L13" s="10">
        <v>6.4</v>
      </c>
    </row>
    <row r="14" spans="1:12" x14ac:dyDescent="0.3">
      <c r="A14" s="7">
        <v>46035</v>
      </c>
      <c r="B14" s="8" t="s">
        <v>63</v>
      </c>
      <c r="C14" s="8" t="s">
        <v>51</v>
      </c>
      <c r="D14" s="8">
        <v>167</v>
      </c>
      <c r="E14" s="9">
        <v>6300</v>
      </c>
      <c r="F14" s="8">
        <v>28</v>
      </c>
      <c r="G14" s="8">
        <v>168</v>
      </c>
      <c r="H14" s="8">
        <v>545</v>
      </c>
      <c r="I14" s="9">
        <v>57000</v>
      </c>
      <c r="J14" s="8">
        <v>2</v>
      </c>
      <c r="K14" s="10">
        <v>4.0999999999999996</v>
      </c>
      <c r="L14" s="10">
        <v>7.3</v>
      </c>
    </row>
    <row r="15" spans="1:12" x14ac:dyDescent="0.3">
      <c r="A15" s="7">
        <v>46036</v>
      </c>
      <c r="B15" s="8" t="s">
        <v>64</v>
      </c>
      <c r="C15" s="8" t="s">
        <v>56</v>
      </c>
      <c r="D15" s="8">
        <v>153</v>
      </c>
      <c r="E15" s="9">
        <v>5800</v>
      </c>
      <c r="F15" s="8">
        <v>6</v>
      </c>
      <c r="G15" s="8">
        <v>165</v>
      </c>
      <c r="H15" s="8">
        <v>555</v>
      </c>
      <c r="I15" s="9"/>
      <c r="J15" s="8">
        <v>4</v>
      </c>
      <c r="K15" s="10">
        <v>4.5</v>
      </c>
      <c r="L15" s="10">
        <v>6.3</v>
      </c>
    </row>
    <row r="16" spans="1:12" x14ac:dyDescent="0.3">
      <c r="A16" s="7">
        <v>46037</v>
      </c>
      <c r="B16" s="8" t="s">
        <v>65</v>
      </c>
      <c r="C16" s="8" t="s">
        <v>51</v>
      </c>
      <c r="D16" s="8">
        <v>169</v>
      </c>
      <c r="E16" s="9">
        <v>57000</v>
      </c>
      <c r="F16" s="8">
        <v>15</v>
      </c>
      <c r="G16" s="8"/>
      <c r="H16" s="8">
        <v>593</v>
      </c>
      <c r="I16" s="9">
        <v>63800</v>
      </c>
      <c r="J16" s="8">
        <v>3</v>
      </c>
      <c r="K16" s="10"/>
      <c r="L16" s="10">
        <v>6.4</v>
      </c>
    </row>
    <row r="17" spans="1:12" x14ac:dyDescent="0.3">
      <c r="A17" s="7">
        <v>46038</v>
      </c>
      <c r="B17" s="8" t="s">
        <v>66</v>
      </c>
      <c r="C17" s="8" t="s">
        <v>56</v>
      </c>
      <c r="D17" s="8">
        <v>155</v>
      </c>
      <c r="E17" s="9">
        <v>6250</v>
      </c>
      <c r="F17" s="8">
        <v>19</v>
      </c>
      <c r="G17" s="8">
        <v>168</v>
      </c>
      <c r="H17" s="8">
        <v>559</v>
      </c>
      <c r="I17" s="9">
        <v>65900</v>
      </c>
      <c r="J17" s="8">
        <v>7</v>
      </c>
      <c r="K17" s="10">
        <v>4.2</v>
      </c>
      <c r="L17" s="10">
        <v>7.9</v>
      </c>
    </row>
    <row r="18" spans="1:12" x14ac:dyDescent="0.3">
      <c r="A18" s="7">
        <v>46039</v>
      </c>
      <c r="B18" s="8" t="s">
        <v>67</v>
      </c>
      <c r="C18" s="8" t="s">
        <v>51</v>
      </c>
      <c r="D18" s="8">
        <v>145</v>
      </c>
      <c r="E18" s="9">
        <v>6700</v>
      </c>
      <c r="F18" s="8">
        <v>12</v>
      </c>
      <c r="G18" s="8">
        <v>164</v>
      </c>
      <c r="H18" s="8">
        <v>561</v>
      </c>
      <c r="I18" s="9">
        <v>48800</v>
      </c>
      <c r="J18" s="8">
        <v>2</v>
      </c>
      <c r="K18" s="10">
        <v>3.6</v>
      </c>
      <c r="L18" s="10">
        <v>4.8</v>
      </c>
    </row>
    <row r="19" spans="1:12" x14ac:dyDescent="0.3">
      <c r="A19" s="7">
        <v>46040</v>
      </c>
      <c r="B19" s="8" t="s">
        <v>68</v>
      </c>
      <c r="C19" s="8" t="s">
        <v>49</v>
      </c>
      <c r="D19" s="8">
        <v>134</v>
      </c>
      <c r="E19" s="9">
        <v>5900</v>
      </c>
      <c r="F19" s="8">
        <v>23</v>
      </c>
      <c r="G19" s="8">
        <v>133</v>
      </c>
      <c r="H19" s="8">
        <v>424</v>
      </c>
      <c r="I19" s="9">
        <v>55100</v>
      </c>
      <c r="J19" s="8">
        <v>3</v>
      </c>
      <c r="K19" s="10">
        <v>4.2</v>
      </c>
      <c r="L19" s="10">
        <v>7.2</v>
      </c>
    </row>
    <row r="20" spans="1:12" x14ac:dyDescent="0.3">
      <c r="A20" s="7">
        <v>46041</v>
      </c>
      <c r="B20" s="8" t="s">
        <v>69</v>
      </c>
      <c r="C20" s="8" t="s">
        <v>49</v>
      </c>
      <c r="D20" s="8">
        <v>137</v>
      </c>
      <c r="E20" s="9">
        <v>5150</v>
      </c>
      <c r="F20" s="8">
        <v>1</v>
      </c>
      <c r="G20" s="8">
        <v>133</v>
      </c>
      <c r="H20" s="8">
        <v>457</v>
      </c>
      <c r="I20" s="9"/>
      <c r="J20" s="8">
        <v>1</v>
      </c>
      <c r="K20" s="10">
        <v>3.9</v>
      </c>
      <c r="L20" s="10">
        <v>6.4</v>
      </c>
    </row>
    <row r="21" spans="1:12" x14ac:dyDescent="0.3">
      <c r="A21" s="7">
        <v>46042</v>
      </c>
      <c r="B21" s="8" t="s">
        <v>70</v>
      </c>
      <c r="C21" s="8" t="s">
        <v>49</v>
      </c>
      <c r="D21" s="8">
        <v>160</v>
      </c>
      <c r="E21" s="9">
        <v>5100</v>
      </c>
      <c r="F21" s="8">
        <v>39</v>
      </c>
      <c r="G21" s="8">
        <v>129</v>
      </c>
      <c r="H21" s="8">
        <v>429</v>
      </c>
      <c r="I21" s="9">
        <v>67600</v>
      </c>
      <c r="J21" s="8">
        <v>0</v>
      </c>
      <c r="K21" s="10">
        <v>3.8</v>
      </c>
      <c r="L21" s="10">
        <v>4.2</v>
      </c>
    </row>
    <row r="22" spans="1:12" x14ac:dyDescent="0.3">
      <c r="A22" s="7">
        <v>46043</v>
      </c>
      <c r="B22" s="8" t="s">
        <v>71</v>
      </c>
      <c r="C22" s="8" t="s">
        <v>51</v>
      </c>
      <c r="D22" s="8">
        <v>132</v>
      </c>
      <c r="E22" s="9">
        <v>6100</v>
      </c>
      <c r="F22" s="8">
        <v>26</v>
      </c>
      <c r="G22" s="8">
        <v>172</v>
      </c>
      <c r="H22" s="8">
        <v>577</v>
      </c>
      <c r="I22" s="9">
        <v>49900</v>
      </c>
      <c r="J22" s="8">
        <v>1</v>
      </c>
      <c r="K22" s="10">
        <v>4.5</v>
      </c>
      <c r="L22" s="10">
        <v>8.1</v>
      </c>
    </row>
    <row r="23" spans="1:12" x14ac:dyDescent="0.3">
      <c r="A23" s="7">
        <v>46044</v>
      </c>
      <c r="B23" s="8" t="s">
        <v>72</v>
      </c>
      <c r="C23" s="8" t="s">
        <v>51</v>
      </c>
      <c r="D23" s="8">
        <v>145</v>
      </c>
      <c r="E23" s="9">
        <v>6150</v>
      </c>
      <c r="F23" s="8">
        <v>10</v>
      </c>
      <c r="G23" s="8">
        <v>170</v>
      </c>
      <c r="H23" s="8">
        <v>521</v>
      </c>
      <c r="I23" s="9">
        <v>56100</v>
      </c>
      <c r="J23" s="8">
        <v>3</v>
      </c>
      <c r="K23" s="10">
        <v>4.4000000000000004</v>
      </c>
      <c r="L23" s="10"/>
    </row>
    <row r="24" spans="1:12" x14ac:dyDescent="0.3">
      <c r="A24" s="7">
        <v>46045</v>
      </c>
      <c r="B24" s="8" t="s">
        <v>73</v>
      </c>
      <c r="C24" s="8" t="s">
        <v>51</v>
      </c>
      <c r="D24" s="8">
        <v>180</v>
      </c>
      <c r="E24" s="9">
        <v>6250</v>
      </c>
      <c r="F24" s="8">
        <v>-45</v>
      </c>
      <c r="G24" s="8">
        <v>164</v>
      </c>
      <c r="H24" s="8"/>
      <c r="I24" s="9">
        <v>67700</v>
      </c>
      <c r="J24" s="8">
        <v>1</v>
      </c>
      <c r="K24" s="10">
        <v>4</v>
      </c>
      <c r="L24" s="10">
        <v>8.4</v>
      </c>
    </row>
    <row r="25" spans="1:12" x14ac:dyDescent="0.3">
      <c r="A25" s="7">
        <v>46046</v>
      </c>
      <c r="B25" s="8" t="s">
        <v>74</v>
      </c>
      <c r="C25" s="8"/>
      <c r="D25" s="8">
        <v>168</v>
      </c>
      <c r="E25" s="9">
        <v>5850</v>
      </c>
      <c r="F25" s="8">
        <v>5</v>
      </c>
      <c r="G25" s="8">
        <v>128</v>
      </c>
      <c r="H25" s="8">
        <v>426</v>
      </c>
      <c r="I25" s="9">
        <v>69300</v>
      </c>
      <c r="J25" s="8">
        <v>2</v>
      </c>
      <c r="K25" s="10"/>
      <c r="L25" s="10">
        <v>5.4</v>
      </c>
    </row>
    <row r="26" spans="1:12" x14ac:dyDescent="0.3">
      <c r="A26" s="7">
        <v>46047</v>
      </c>
      <c r="B26" s="8" t="s">
        <v>75</v>
      </c>
      <c r="C26" s="8" t="s">
        <v>51</v>
      </c>
      <c r="D26" s="8">
        <v>179</v>
      </c>
      <c r="E26" s="9">
        <v>7250</v>
      </c>
      <c r="F26" s="8">
        <v>24</v>
      </c>
      <c r="G26" s="8">
        <v>170</v>
      </c>
      <c r="H26" s="8">
        <v>588</v>
      </c>
      <c r="I26" s="9">
        <v>70300</v>
      </c>
      <c r="J26" s="8">
        <v>4</v>
      </c>
      <c r="K26" s="10">
        <v>4.3</v>
      </c>
      <c r="L26" s="10">
        <v>4.8</v>
      </c>
    </row>
    <row r="27" spans="1:12" x14ac:dyDescent="0.3">
      <c r="A27" s="7">
        <v>46048</v>
      </c>
      <c r="B27" s="8" t="s">
        <v>76</v>
      </c>
      <c r="C27" s="8" t="s">
        <v>49</v>
      </c>
      <c r="D27" s="8">
        <v>138</v>
      </c>
      <c r="E27" s="9">
        <v>5450</v>
      </c>
      <c r="F27" s="8">
        <v>20</v>
      </c>
      <c r="G27" s="8">
        <v>128</v>
      </c>
      <c r="H27" s="8">
        <v>425</v>
      </c>
      <c r="I27" s="9">
        <v>60600</v>
      </c>
      <c r="J27" s="8">
        <v>2</v>
      </c>
      <c r="K27" s="10">
        <v>4.0999999999999996</v>
      </c>
      <c r="L27" s="10"/>
    </row>
    <row r="28" spans="1:12" x14ac:dyDescent="0.3">
      <c r="A28" s="7">
        <v>46049</v>
      </c>
      <c r="B28" s="8" t="s">
        <v>77</v>
      </c>
      <c r="C28" s="8" t="s">
        <v>49</v>
      </c>
      <c r="D28" s="8">
        <v>120</v>
      </c>
      <c r="E28" s="9"/>
      <c r="F28" s="8">
        <v>44</v>
      </c>
      <c r="G28" s="8">
        <v>132</v>
      </c>
      <c r="H28" s="8">
        <v>422</v>
      </c>
      <c r="I28" s="9">
        <v>38100</v>
      </c>
      <c r="J28" s="8">
        <v>2</v>
      </c>
      <c r="K28" s="10">
        <v>3.9</v>
      </c>
      <c r="L28" s="10">
        <v>5.2</v>
      </c>
    </row>
    <row r="29" spans="1:12" x14ac:dyDescent="0.3">
      <c r="A29" s="7">
        <v>46050</v>
      </c>
      <c r="B29" s="8" t="s">
        <v>78</v>
      </c>
      <c r="C29" s="8" t="s">
        <v>51</v>
      </c>
      <c r="D29" s="8">
        <v>168</v>
      </c>
      <c r="E29" s="9">
        <v>6150</v>
      </c>
      <c r="F29" s="8">
        <v>6</v>
      </c>
      <c r="G29" s="8">
        <v>174</v>
      </c>
      <c r="H29" s="8">
        <v>563</v>
      </c>
      <c r="I29" s="9">
        <v>58500</v>
      </c>
      <c r="J29" s="8">
        <v>6</v>
      </c>
      <c r="K29" s="10">
        <v>4</v>
      </c>
      <c r="L29" s="10">
        <v>4.9000000000000004</v>
      </c>
    </row>
    <row r="30" spans="1:12" x14ac:dyDescent="0.3">
      <c r="A30" s="7">
        <v>46051</v>
      </c>
      <c r="B30" s="8" t="s">
        <v>79</v>
      </c>
      <c r="C30" s="8" t="s">
        <v>51</v>
      </c>
      <c r="D30" s="8">
        <v>133</v>
      </c>
      <c r="E30" s="9">
        <v>5550</v>
      </c>
      <c r="F30" s="8">
        <v>14</v>
      </c>
      <c r="G30" s="8">
        <v>171</v>
      </c>
      <c r="H30" s="8">
        <v>570</v>
      </c>
      <c r="I30" s="9">
        <v>44300</v>
      </c>
      <c r="J30" s="8">
        <v>2</v>
      </c>
      <c r="K30" s="10">
        <v>4.3</v>
      </c>
      <c r="L30" s="10">
        <v>7.1</v>
      </c>
    </row>
    <row r="31" spans="1:12" x14ac:dyDescent="0.3">
      <c r="A31" s="7">
        <v>46052</v>
      </c>
      <c r="B31" s="8" t="s">
        <v>80</v>
      </c>
      <c r="C31" s="8" t="s">
        <v>49</v>
      </c>
      <c r="D31" s="8">
        <v>159</v>
      </c>
      <c r="E31" s="9">
        <v>5050</v>
      </c>
      <c r="F31" s="8">
        <v>11</v>
      </c>
      <c r="G31" s="8">
        <v>129</v>
      </c>
      <c r="H31" s="8">
        <v>430</v>
      </c>
      <c r="I31" s="9">
        <v>64400</v>
      </c>
      <c r="J31" s="8">
        <v>6</v>
      </c>
      <c r="K31" s="10">
        <v>4.4000000000000004</v>
      </c>
      <c r="L31" s="10">
        <v>5.5</v>
      </c>
    </row>
    <row r="32" spans="1:12" x14ac:dyDescent="0.3">
      <c r="A32" s="7">
        <v>46053</v>
      </c>
      <c r="B32" s="8" t="s">
        <v>81</v>
      </c>
      <c r="C32" s="8" t="s">
        <v>49</v>
      </c>
      <c r="D32" s="8">
        <v>161</v>
      </c>
      <c r="E32" s="9">
        <v>5800</v>
      </c>
      <c r="F32" s="8">
        <v>10</v>
      </c>
      <c r="G32" s="8">
        <v>135</v>
      </c>
      <c r="H32" s="8">
        <v>437</v>
      </c>
      <c r="I32" s="9">
        <v>51700</v>
      </c>
      <c r="J32" s="8">
        <v>4</v>
      </c>
      <c r="K32" s="10">
        <v>4</v>
      </c>
      <c r="L32" s="10">
        <v>6.8</v>
      </c>
    </row>
    <row r="33" spans="1:12" x14ac:dyDescent="0.3">
      <c r="A33" s="7">
        <v>46054</v>
      </c>
      <c r="B33" s="8" t="s">
        <v>82</v>
      </c>
      <c r="C33" s="8" t="s">
        <v>56</v>
      </c>
      <c r="D33" s="8">
        <v>147</v>
      </c>
      <c r="E33" s="9">
        <v>6300</v>
      </c>
      <c r="F33" s="8">
        <v>12</v>
      </c>
      <c r="G33" s="8">
        <v>166</v>
      </c>
      <c r="H33" s="8">
        <v>533</v>
      </c>
      <c r="I33" s="9">
        <v>68400</v>
      </c>
      <c r="J33" s="8">
        <v>2</v>
      </c>
      <c r="K33" s="10">
        <v>3.7</v>
      </c>
      <c r="L33" s="10">
        <v>4.2</v>
      </c>
    </row>
    <row r="34" spans="1:12" x14ac:dyDescent="0.3">
      <c r="A34" s="7">
        <v>46055</v>
      </c>
      <c r="B34" s="8" t="s">
        <v>83</v>
      </c>
      <c r="C34" s="8" t="s">
        <v>56</v>
      </c>
      <c r="D34" s="8">
        <v>169</v>
      </c>
      <c r="E34" s="9">
        <v>5600</v>
      </c>
      <c r="F34" s="8">
        <v>24</v>
      </c>
      <c r="G34" s="8">
        <v>166</v>
      </c>
      <c r="H34" s="8">
        <v>569</v>
      </c>
      <c r="I34" s="9">
        <v>64800</v>
      </c>
      <c r="J34" s="8">
        <v>1</v>
      </c>
      <c r="K34" s="10">
        <v>4.5</v>
      </c>
      <c r="L34" s="10">
        <v>3.9</v>
      </c>
    </row>
    <row r="35" spans="1:12" x14ac:dyDescent="0.3">
      <c r="A35" s="7">
        <v>46056</v>
      </c>
      <c r="B35" s="8" t="s">
        <v>84</v>
      </c>
      <c r="C35" s="8" t="s">
        <v>51</v>
      </c>
      <c r="D35" s="8">
        <v>169</v>
      </c>
      <c r="E35" s="9">
        <v>5450</v>
      </c>
      <c r="F35" s="8">
        <v>26</v>
      </c>
      <c r="G35" s="8">
        <v>167</v>
      </c>
      <c r="H35" s="8">
        <v>548</v>
      </c>
      <c r="I35" s="9">
        <v>71400</v>
      </c>
      <c r="J35" s="8">
        <v>8</v>
      </c>
      <c r="K35" s="10">
        <v>3.9</v>
      </c>
      <c r="L35" s="10">
        <v>5.6</v>
      </c>
    </row>
    <row r="36" spans="1:12" x14ac:dyDescent="0.3">
      <c r="A36" s="7">
        <v>46057</v>
      </c>
      <c r="B36" s="8" t="s">
        <v>85</v>
      </c>
      <c r="C36" s="8" t="s">
        <v>49</v>
      </c>
      <c r="D36" s="8">
        <v>157</v>
      </c>
      <c r="E36" s="9">
        <v>4800</v>
      </c>
      <c r="F36" s="8">
        <v>39</v>
      </c>
      <c r="G36" s="8">
        <v>129</v>
      </c>
      <c r="H36" s="8">
        <v>425</v>
      </c>
      <c r="I36" s="9">
        <v>54400</v>
      </c>
      <c r="J36" s="8">
        <v>4</v>
      </c>
      <c r="K36" s="10">
        <v>4.0999999999999996</v>
      </c>
      <c r="L36" s="10">
        <v>7.7</v>
      </c>
    </row>
    <row r="37" spans="1:12" x14ac:dyDescent="0.3">
      <c r="A37" s="7">
        <v>46058</v>
      </c>
      <c r="B37" s="8" t="s">
        <v>86</v>
      </c>
      <c r="C37" s="8" t="s">
        <v>56</v>
      </c>
      <c r="D37" s="8">
        <v>150</v>
      </c>
      <c r="E37" s="9">
        <v>5850</v>
      </c>
      <c r="F37" s="8">
        <v>8</v>
      </c>
      <c r="G37" s="8">
        <v>169</v>
      </c>
      <c r="H37" s="8">
        <v>550</v>
      </c>
      <c r="I37" s="9">
        <v>58000</v>
      </c>
      <c r="J37" s="8">
        <v>5</v>
      </c>
      <c r="K37" s="10">
        <v>4</v>
      </c>
      <c r="L37" s="10">
        <v>6.1</v>
      </c>
    </row>
    <row r="38" spans="1:12" x14ac:dyDescent="0.3">
      <c r="A38" s="7">
        <v>46059</v>
      </c>
      <c r="B38" s="8" t="s">
        <v>87</v>
      </c>
      <c r="C38" s="8" t="s">
        <v>51</v>
      </c>
      <c r="D38" s="8">
        <v>160</v>
      </c>
      <c r="E38" s="9">
        <v>6600</v>
      </c>
      <c r="F38" s="8">
        <v>6</v>
      </c>
      <c r="G38" s="8">
        <v>173</v>
      </c>
      <c r="H38" s="8">
        <v>590</v>
      </c>
      <c r="I38" s="9">
        <v>64300</v>
      </c>
      <c r="J38" s="8">
        <v>3</v>
      </c>
      <c r="K38" s="10">
        <v>4</v>
      </c>
      <c r="L38" s="10">
        <v>7.9</v>
      </c>
    </row>
    <row r="39" spans="1:12" x14ac:dyDescent="0.3">
      <c r="A39" s="7">
        <v>46060</v>
      </c>
      <c r="B39" s="8" t="s">
        <v>88</v>
      </c>
      <c r="C39" s="8" t="s">
        <v>51</v>
      </c>
      <c r="D39" s="8">
        <v>215</v>
      </c>
      <c r="E39" s="9">
        <v>6800</v>
      </c>
      <c r="F39" s="8">
        <v>5</v>
      </c>
      <c r="G39" s="8">
        <v>169</v>
      </c>
      <c r="H39" s="8">
        <v>573</v>
      </c>
      <c r="I39" s="9">
        <v>51500</v>
      </c>
      <c r="J39" s="8">
        <v>4</v>
      </c>
      <c r="K39" s="10">
        <v>4.5</v>
      </c>
      <c r="L39" s="10"/>
    </row>
    <row r="40" spans="1:12" x14ac:dyDescent="0.3">
      <c r="A40" s="7">
        <v>46061</v>
      </c>
      <c r="B40" s="8" t="s">
        <v>89</v>
      </c>
      <c r="C40" s="8" t="s">
        <v>56</v>
      </c>
      <c r="D40" s="8">
        <v>155</v>
      </c>
      <c r="E40" s="9">
        <v>6700</v>
      </c>
      <c r="F40" s="8">
        <v>25</v>
      </c>
      <c r="G40" s="8">
        <v>165</v>
      </c>
      <c r="H40" s="8">
        <v>530</v>
      </c>
      <c r="I40" s="9">
        <v>57700</v>
      </c>
      <c r="J40" s="8">
        <v>2</v>
      </c>
      <c r="K40" s="10">
        <v>4</v>
      </c>
      <c r="L40" s="10">
        <v>6.7</v>
      </c>
    </row>
    <row r="41" spans="1:12" x14ac:dyDescent="0.3">
      <c r="A41" s="7">
        <v>46062</v>
      </c>
      <c r="B41" s="8" t="s">
        <v>90</v>
      </c>
      <c r="C41" s="8" t="s">
        <v>49</v>
      </c>
      <c r="D41" s="8">
        <v>149</v>
      </c>
      <c r="E41" s="9">
        <v>5100</v>
      </c>
      <c r="F41" s="8">
        <v>20</v>
      </c>
      <c r="G41" s="8">
        <v>131</v>
      </c>
      <c r="H41" s="8">
        <v>431</v>
      </c>
      <c r="I41" s="9">
        <v>64700</v>
      </c>
      <c r="J41" s="8">
        <v>2</v>
      </c>
      <c r="K41" s="10">
        <v>4.3</v>
      </c>
      <c r="L41" s="10">
        <v>5</v>
      </c>
    </row>
    <row r="42" spans="1:12" x14ac:dyDescent="0.3">
      <c r="A42" s="7">
        <v>46063</v>
      </c>
      <c r="B42" s="8" t="s">
        <v>91</v>
      </c>
      <c r="C42" s="8" t="s">
        <v>51</v>
      </c>
      <c r="D42" s="8">
        <v>140</v>
      </c>
      <c r="E42" s="9">
        <v>6250</v>
      </c>
      <c r="F42" s="8">
        <v>14</v>
      </c>
      <c r="G42" s="8">
        <v>166</v>
      </c>
      <c r="H42" s="8">
        <v>535</v>
      </c>
      <c r="I42" s="9">
        <v>59400</v>
      </c>
      <c r="J42" s="8">
        <v>0</v>
      </c>
      <c r="K42" s="10">
        <v>4.4000000000000004</v>
      </c>
      <c r="L42" s="10">
        <v>4</v>
      </c>
    </row>
    <row r="43" spans="1:12" x14ac:dyDescent="0.3">
      <c r="A43" s="7">
        <v>46064</v>
      </c>
      <c r="B43" s="8" t="s">
        <v>92</v>
      </c>
      <c r="C43" s="8" t="s">
        <v>49</v>
      </c>
      <c r="D43" s="8">
        <v>160</v>
      </c>
      <c r="E43" s="9">
        <v>5150</v>
      </c>
      <c r="F43" s="8">
        <v>3</v>
      </c>
      <c r="G43" s="8">
        <v>129</v>
      </c>
      <c r="H43" s="8">
        <v>452</v>
      </c>
      <c r="I43" s="9">
        <v>64000</v>
      </c>
      <c r="J43" s="8">
        <v>0</v>
      </c>
      <c r="K43" s="10">
        <v>4.0999999999999996</v>
      </c>
      <c r="L43" s="10">
        <v>4.2</v>
      </c>
    </row>
    <row r="44" spans="1:12" x14ac:dyDescent="0.3">
      <c r="A44" s="7">
        <v>46065</v>
      </c>
      <c r="B44" s="8" t="s">
        <v>93</v>
      </c>
      <c r="C44" s="8" t="s">
        <v>49</v>
      </c>
      <c r="D44" s="8">
        <v>133</v>
      </c>
      <c r="E44" s="9">
        <v>5050</v>
      </c>
      <c r="F44" s="8"/>
      <c r="G44" s="8">
        <v>128</v>
      </c>
      <c r="H44" s="8">
        <v>429</v>
      </c>
      <c r="I44" s="9">
        <v>59700</v>
      </c>
      <c r="J44" s="8">
        <v>3</v>
      </c>
      <c r="K44" s="10">
        <v>4.3</v>
      </c>
      <c r="L44" s="10">
        <v>4.8</v>
      </c>
    </row>
    <row r="45" spans="1:12" x14ac:dyDescent="0.3">
      <c r="A45" s="7">
        <v>46066</v>
      </c>
      <c r="B45" s="8" t="s">
        <v>94</v>
      </c>
      <c r="C45" s="8" t="s">
        <v>51</v>
      </c>
      <c r="D45" s="8">
        <v>153</v>
      </c>
      <c r="E45" s="9">
        <v>6500</v>
      </c>
      <c r="F45" s="8">
        <v>21</v>
      </c>
      <c r="G45" s="8">
        <v>164</v>
      </c>
      <c r="H45" s="8">
        <v>537</v>
      </c>
      <c r="I45" s="9">
        <v>47700</v>
      </c>
      <c r="J45" s="8">
        <v>2</v>
      </c>
      <c r="K45" s="10">
        <v>4.3</v>
      </c>
      <c r="L45" s="10">
        <v>9.3000000000000007</v>
      </c>
    </row>
    <row r="46" spans="1:12" x14ac:dyDescent="0.3">
      <c r="A46" s="7">
        <v>46067</v>
      </c>
      <c r="B46" s="8" t="s">
        <v>95</v>
      </c>
      <c r="C46" s="8" t="s">
        <v>49</v>
      </c>
      <c r="D46" s="8">
        <v>131</v>
      </c>
      <c r="E46" s="9"/>
      <c r="F46" s="8">
        <v>13</v>
      </c>
      <c r="G46" s="8">
        <v>131</v>
      </c>
      <c r="H46" s="8">
        <v>428</v>
      </c>
      <c r="I46" s="9">
        <v>51100</v>
      </c>
      <c r="J46" s="8">
        <v>4</v>
      </c>
      <c r="K46" s="10">
        <v>4.5</v>
      </c>
      <c r="L46" s="10">
        <v>4.3</v>
      </c>
    </row>
    <row r="47" spans="1:12" x14ac:dyDescent="0.3">
      <c r="A47" s="7">
        <v>46068</v>
      </c>
      <c r="B47" s="8" t="s">
        <v>96</v>
      </c>
      <c r="C47" s="8" t="s">
        <v>51</v>
      </c>
      <c r="D47" s="8"/>
      <c r="E47" s="9">
        <v>6300</v>
      </c>
      <c r="F47" s="8">
        <v>17</v>
      </c>
      <c r="G47" s="8">
        <v>169</v>
      </c>
      <c r="H47" s="8"/>
      <c r="I47" s="9">
        <v>60100</v>
      </c>
      <c r="J47" s="8">
        <v>2</v>
      </c>
      <c r="K47" s="10">
        <v>4.0999999999999996</v>
      </c>
      <c r="L47" s="10">
        <v>5</v>
      </c>
    </row>
    <row r="48" spans="1:12" x14ac:dyDescent="0.3">
      <c r="A48" s="7">
        <v>46069</v>
      </c>
      <c r="B48" s="8" t="s">
        <v>97</v>
      </c>
      <c r="C48" s="8" t="s">
        <v>51</v>
      </c>
      <c r="D48" s="8">
        <v>159</v>
      </c>
      <c r="E48" s="9"/>
      <c r="F48" s="8">
        <v>6</v>
      </c>
      <c r="G48" s="8">
        <v>164</v>
      </c>
      <c r="H48" s="8">
        <v>538</v>
      </c>
      <c r="I48" s="9">
        <v>68300</v>
      </c>
      <c r="J48" s="8"/>
      <c r="K48" s="10">
        <v>4.2</v>
      </c>
      <c r="L48" s="10">
        <v>8.1999999999999993</v>
      </c>
    </row>
    <row r="49" spans="1:12" x14ac:dyDescent="0.3">
      <c r="A49" s="7">
        <v>46070</v>
      </c>
      <c r="B49" s="8" t="s">
        <v>98</v>
      </c>
      <c r="C49" s="8" t="s">
        <v>49</v>
      </c>
      <c r="D49" s="8"/>
      <c r="E49" s="9">
        <v>5650</v>
      </c>
      <c r="F49" s="8">
        <v>16</v>
      </c>
      <c r="G49" s="8">
        <v>127</v>
      </c>
      <c r="H49" s="8">
        <v>441</v>
      </c>
      <c r="I49" s="9">
        <v>65800</v>
      </c>
      <c r="J49" s="8">
        <v>4</v>
      </c>
      <c r="K49" s="10"/>
      <c r="L49" s="10">
        <v>5.3</v>
      </c>
    </row>
    <row r="50" spans="1:12" x14ac:dyDescent="0.3">
      <c r="A50" s="7">
        <v>46071</v>
      </c>
      <c r="B50" s="8" t="s">
        <v>99</v>
      </c>
      <c r="C50" s="8" t="s">
        <v>51</v>
      </c>
      <c r="D50" s="8">
        <v>180</v>
      </c>
      <c r="E50" s="9">
        <v>6100</v>
      </c>
      <c r="F50" s="8">
        <v>8</v>
      </c>
      <c r="G50" s="8">
        <v>170</v>
      </c>
      <c r="H50" s="8">
        <v>548</v>
      </c>
      <c r="I50" s="9"/>
      <c r="J50" s="8"/>
      <c r="K50" s="10">
        <v>4.4000000000000004</v>
      </c>
      <c r="L50" s="10">
        <v>7</v>
      </c>
    </row>
    <row r="51" spans="1:12" x14ac:dyDescent="0.3">
      <c r="A51" s="7">
        <v>46072</v>
      </c>
      <c r="B51" s="8" t="s">
        <v>100</v>
      </c>
      <c r="C51" s="8" t="s">
        <v>51</v>
      </c>
      <c r="D51" s="8">
        <v>161</v>
      </c>
      <c r="E51" s="9"/>
      <c r="F51" s="8"/>
      <c r="G51" s="8">
        <v>158</v>
      </c>
      <c r="H51" s="8">
        <v>504</v>
      </c>
      <c r="I51" s="9">
        <v>57800</v>
      </c>
      <c r="J51" s="8">
        <v>2</v>
      </c>
      <c r="K51" s="10">
        <v>4.2</v>
      </c>
      <c r="L51" s="10">
        <v>2.8</v>
      </c>
    </row>
    <row r="52" spans="1:12" x14ac:dyDescent="0.3">
      <c r="A52" s="7">
        <v>46073</v>
      </c>
      <c r="B52" s="8" t="s">
        <v>101</v>
      </c>
      <c r="C52" s="8" t="s">
        <v>51</v>
      </c>
      <c r="D52" s="8">
        <v>147</v>
      </c>
      <c r="E52" s="9">
        <v>6150</v>
      </c>
      <c r="F52" s="8">
        <v>3</v>
      </c>
      <c r="G52" s="8">
        <v>171</v>
      </c>
      <c r="H52" s="8">
        <v>584</v>
      </c>
      <c r="I52" s="9">
        <v>58700</v>
      </c>
      <c r="J52" s="8">
        <v>2</v>
      </c>
      <c r="K52" s="10">
        <v>3.9</v>
      </c>
      <c r="L52" s="10">
        <v>4.5999999999999996</v>
      </c>
    </row>
    <row r="53" spans="1:12" x14ac:dyDescent="0.3">
      <c r="A53" s="7">
        <v>46074</v>
      </c>
      <c r="B53" s="8" t="s">
        <v>102</v>
      </c>
      <c r="C53" s="8" t="s">
        <v>49</v>
      </c>
      <c r="D53" s="8">
        <v>180</v>
      </c>
      <c r="E53" s="9">
        <v>6300</v>
      </c>
      <c r="F53" s="8">
        <v>13</v>
      </c>
      <c r="G53" s="8">
        <v>131</v>
      </c>
      <c r="H53" s="8">
        <v>426</v>
      </c>
      <c r="I53" s="9">
        <v>75200</v>
      </c>
      <c r="J53" s="8">
        <v>1</v>
      </c>
      <c r="K53" s="10">
        <v>4.0999999999999996</v>
      </c>
      <c r="L53" s="10">
        <v>7</v>
      </c>
    </row>
    <row r="54" spans="1:12" x14ac:dyDescent="0.3">
      <c r="A54" s="7">
        <v>46075</v>
      </c>
      <c r="B54" s="8" t="s">
        <v>103</v>
      </c>
      <c r="C54" s="8" t="s">
        <v>51</v>
      </c>
      <c r="D54" s="8">
        <v>147</v>
      </c>
      <c r="E54" s="9">
        <v>6900</v>
      </c>
      <c r="F54" s="8">
        <v>380</v>
      </c>
      <c r="G54" s="8">
        <v>173</v>
      </c>
      <c r="H54" s="8">
        <v>980</v>
      </c>
      <c r="I54" s="9">
        <v>62500</v>
      </c>
      <c r="J54" s="8">
        <v>19</v>
      </c>
      <c r="K54" s="10">
        <v>4.2</v>
      </c>
      <c r="L54" s="10">
        <v>31.5</v>
      </c>
    </row>
    <row r="55" spans="1:12" x14ac:dyDescent="0.3">
      <c r="A55" s="7">
        <v>46076</v>
      </c>
      <c r="B55" s="8" t="s">
        <v>104</v>
      </c>
      <c r="C55" s="8" t="s">
        <v>51</v>
      </c>
      <c r="D55" s="8">
        <v>159</v>
      </c>
      <c r="E55" s="9">
        <v>6150</v>
      </c>
      <c r="F55" s="8">
        <v>20</v>
      </c>
      <c r="G55" s="8">
        <v>168</v>
      </c>
      <c r="H55" s="8">
        <v>567</v>
      </c>
      <c r="I55" s="9">
        <v>55300</v>
      </c>
      <c r="J55" s="8">
        <v>4</v>
      </c>
      <c r="K55" s="10">
        <v>4</v>
      </c>
      <c r="L55" s="10">
        <v>6.6</v>
      </c>
    </row>
    <row r="56" spans="1:12" x14ac:dyDescent="0.3">
      <c r="A56" s="7">
        <v>46077</v>
      </c>
      <c r="B56" s="8" t="s">
        <v>105</v>
      </c>
      <c r="C56" s="8" t="s">
        <v>51</v>
      </c>
      <c r="D56" s="8">
        <v>159</v>
      </c>
      <c r="E56" s="9">
        <v>6100</v>
      </c>
      <c r="F56" s="8">
        <v>2</v>
      </c>
      <c r="G56" s="8">
        <v>164</v>
      </c>
      <c r="H56" s="8">
        <v>522</v>
      </c>
      <c r="I56" s="9">
        <v>56600</v>
      </c>
      <c r="J56" s="8">
        <v>0</v>
      </c>
      <c r="K56" s="10">
        <v>4.0999999999999996</v>
      </c>
      <c r="L56" s="10">
        <v>6.1</v>
      </c>
    </row>
    <row r="57" spans="1:12" x14ac:dyDescent="0.3">
      <c r="A57" s="7">
        <v>46078</v>
      </c>
      <c r="B57" s="8" t="s">
        <v>106</v>
      </c>
      <c r="C57" s="8" t="s">
        <v>51</v>
      </c>
      <c r="D57" s="8">
        <v>139</v>
      </c>
      <c r="E57" s="9">
        <v>6250</v>
      </c>
      <c r="F57" s="8">
        <v>40</v>
      </c>
      <c r="G57" s="8">
        <v>173</v>
      </c>
      <c r="H57" s="8">
        <v>562</v>
      </c>
      <c r="I57" s="9">
        <v>54000</v>
      </c>
      <c r="J57" s="8"/>
      <c r="K57" s="10">
        <v>3.5</v>
      </c>
      <c r="L57" s="10">
        <v>5.8</v>
      </c>
    </row>
    <row r="58" spans="1:12" x14ac:dyDescent="0.3">
      <c r="A58" s="7">
        <v>46079</v>
      </c>
      <c r="B58" s="8" t="s">
        <v>107</v>
      </c>
      <c r="C58" s="8" t="s">
        <v>51</v>
      </c>
      <c r="D58" s="8">
        <v>167</v>
      </c>
      <c r="E58" s="9">
        <v>5900</v>
      </c>
      <c r="F58" s="8">
        <v>16</v>
      </c>
      <c r="G58" s="8">
        <v>165</v>
      </c>
      <c r="H58" s="8">
        <v>545</v>
      </c>
      <c r="I58" s="9">
        <v>71600</v>
      </c>
      <c r="J58" s="8">
        <v>1</v>
      </c>
      <c r="K58" s="10">
        <v>4.2</v>
      </c>
      <c r="L58" s="10">
        <v>5.9</v>
      </c>
    </row>
    <row r="59" spans="1:12" x14ac:dyDescent="0.3">
      <c r="A59" s="7">
        <v>46080</v>
      </c>
      <c r="B59" s="8" t="s">
        <v>108</v>
      </c>
      <c r="C59" s="8" t="s">
        <v>51</v>
      </c>
      <c r="D59" s="8">
        <v>162</v>
      </c>
      <c r="E59" s="9">
        <v>6650</v>
      </c>
      <c r="F59" s="8">
        <v>17</v>
      </c>
      <c r="G59" s="8">
        <v>172</v>
      </c>
      <c r="H59" s="8">
        <v>565</v>
      </c>
      <c r="I59" s="9">
        <v>65100</v>
      </c>
      <c r="J59" s="8">
        <v>1</v>
      </c>
      <c r="K59" s="10">
        <v>4</v>
      </c>
      <c r="L59" s="10">
        <v>7.3</v>
      </c>
    </row>
    <row r="60" spans="1:12" x14ac:dyDescent="0.3">
      <c r="A60" s="7">
        <v>46081</v>
      </c>
      <c r="B60" s="8" t="s">
        <v>109</v>
      </c>
      <c r="C60" s="8" t="s">
        <v>49</v>
      </c>
      <c r="D60" s="8">
        <v>165</v>
      </c>
      <c r="E60" s="9">
        <v>5350</v>
      </c>
      <c r="F60" s="8">
        <v>31</v>
      </c>
      <c r="G60" s="8">
        <v>127</v>
      </c>
      <c r="H60" s="8">
        <v>423</v>
      </c>
      <c r="I60" s="9">
        <v>70600</v>
      </c>
      <c r="J60" s="8">
        <v>5</v>
      </c>
      <c r="K60" s="10">
        <v>4.3</v>
      </c>
      <c r="L60" s="10"/>
    </row>
    <row r="61" spans="1:12" x14ac:dyDescent="0.3">
      <c r="A61" s="7">
        <v>46082</v>
      </c>
      <c r="B61" s="8" t="s">
        <v>110</v>
      </c>
      <c r="C61" s="8" t="s">
        <v>56</v>
      </c>
      <c r="D61" s="8">
        <v>150</v>
      </c>
      <c r="E61" s="9">
        <v>6400</v>
      </c>
      <c r="F61" s="8">
        <v>8</v>
      </c>
      <c r="G61" s="8">
        <v>161</v>
      </c>
      <c r="H61" s="8">
        <v>523</v>
      </c>
      <c r="I61" s="9">
        <v>46700</v>
      </c>
      <c r="J61" s="8">
        <v>3</v>
      </c>
      <c r="K61" s="10">
        <v>4.2</v>
      </c>
      <c r="L61" s="10">
        <v>7.6</v>
      </c>
    </row>
    <row r="62" spans="1:12" x14ac:dyDescent="0.3">
      <c r="A62" s="7">
        <v>46083</v>
      </c>
      <c r="B62" s="8" t="s">
        <v>111</v>
      </c>
      <c r="C62" s="8" t="s">
        <v>51</v>
      </c>
      <c r="D62" s="8">
        <v>166</v>
      </c>
      <c r="E62" s="9">
        <v>5900</v>
      </c>
      <c r="F62" s="8">
        <v>6</v>
      </c>
      <c r="G62" s="8">
        <v>171</v>
      </c>
      <c r="H62" s="8">
        <v>563</v>
      </c>
      <c r="I62" s="9">
        <v>61500</v>
      </c>
      <c r="J62" s="8">
        <v>2</v>
      </c>
      <c r="K62" s="10">
        <v>4.4000000000000004</v>
      </c>
      <c r="L62" s="10">
        <v>7.3</v>
      </c>
    </row>
    <row r="63" spans="1:12" x14ac:dyDescent="0.3">
      <c r="A63" s="7">
        <v>46084</v>
      </c>
      <c r="B63" s="8" t="s">
        <v>112</v>
      </c>
      <c r="C63" s="8" t="s">
        <v>49</v>
      </c>
      <c r="D63" s="8">
        <v>140</v>
      </c>
      <c r="E63" s="9">
        <v>5450</v>
      </c>
      <c r="F63" s="8">
        <v>23</v>
      </c>
      <c r="G63" s="8">
        <v>134</v>
      </c>
      <c r="H63" s="8">
        <v>456</v>
      </c>
      <c r="I63" s="9">
        <v>55600</v>
      </c>
      <c r="J63" s="8">
        <v>3</v>
      </c>
      <c r="K63" s="10">
        <v>3.8</v>
      </c>
      <c r="L63" s="10">
        <v>8.6999999999999993</v>
      </c>
    </row>
    <row r="64" spans="1:12" x14ac:dyDescent="0.3">
      <c r="A64" s="7">
        <v>46085</v>
      </c>
      <c r="B64" s="8" t="s">
        <v>113</v>
      </c>
      <c r="C64" s="8" t="s">
        <v>51</v>
      </c>
      <c r="D64" s="8">
        <v>129</v>
      </c>
      <c r="E64" s="9">
        <v>6050</v>
      </c>
      <c r="F64" s="8">
        <v>17</v>
      </c>
      <c r="G64" s="8">
        <v>169</v>
      </c>
      <c r="H64" s="8">
        <v>576</v>
      </c>
      <c r="I64" s="9">
        <v>50200</v>
      </c>
      <c r="J64" s="8">
        <v>2</v>
      </c>
      <c r="K64" s="10">
        <v>4.2</v>
      </c>
      <c r="L64" s="10">
        <v>5.6</v>
      </c>
    </row>
    <row r="65" spans="1:12" x14ac:dyDescent="0.3">
      <c r="A65" s="7">
        <v>46086</v>
      </c>
      <c r="B65" s="8" t="s">
        <v>114</v>
      </c>
      <c r="C65" s="8" t="s">
        <v>49</v>
      </c>
      <c r="D65" s="8">
        <v>167</v>
      </c>
      <c r="E65" s="9">
        <v>5300</v>
      </c>
      <c r="F65" s="8">
        <v>27</v>
      </c>
      <c r="G65" s="8">
        <v>129</v>
      </c>
      <c r="H65" s="8">
        <v>415</v>
      </c>
      <c r="I65" s="9">
        <v>52400</v>
      </c>
      <c r="J65" s="8">
        <v>8</v>
      </c>
      <c r="K65" s="10">
        <v>4.2</v>
      </c>
      <c r="L65" s="10">
        <v>6.7</v>
      </c>
    </row>
    <row r="66" spans="1:12" x14ac:dyDescent="0.3">
      <c r="A66" s="7">
        <v>46087</v>
      </c>
      <c r="B66" s="8" t="s">
        <v>115</v>
      </c>
      <c r="C66" s="8" t="s">
        <v>56</v>
      </c>
      <c r="D66" s="8">
        <v>153</v>
      </c>
      <c r="E66" s="9">
        <v>7150</v>
      </c>
      <c r="F66" s="8">
        <v>20</v>
      </c>
      <c r="G66" s="8">
        <v>158</v>
      </c>
      <c r="H66" s="8">
        <v>518</v>
      </c>
      <c r="I66" s="9">
        <v>64000</v>
      </c>
      <c r="J66" s="8">
        <v>1</v>
      </c>
      <c r="K66" s="10">
        <v>4.3</v>
      </c>
      <c r="L66" s="10">
        <v>4.7</v>
      </c>
    </row>
    <row r="67" spans="1:12" x14ac:dyDescent="0.3">
      <c r="A67" s="7">
        <v>46088</v>
      </c>
      <c r="B67" s="8" t="s">
        <v>116</v>
      </c>
      <c r="C67" s="8" t="s">
        <v>56</v>
      </c>
      <c r="D67" s="8">
        <v>159</v>
      </c>
      <c r="E67" s="9">
        <v>6500</v>
      </c>
      <c r="F67" s="8">
        <v>40</v>
      </c>
      <c r="G67" s="8">
        <v>168</v>
      </c>
      <c r="H67" s="8">
        <v>553</v>
      </c>
      <c r="I67" s="9">
        <v>62300</v>
      </c>
      <c r="J67" s="8">
        <v>4</v>
      </c>
      <c r="K67" s="10">
        <v>3.9</v>
      </c>
      <c r="L67" s="10">
        <v>7.6</v>
      </c>
    </row>
    <row r="68" spans="1:12" x14ac:dyDescent="0.3">
      <c r="A68" s="7">
        <v>46089</v>
      </c>
      <c r="B68" s="8" t="s">
        <v>117</v>
      </c>
      <c r="C68" s="8" t="s">
        <v>49</v>
      </c>
      <c r="D68" s="8">
        <v>180</v>
      </c>
      <c r="E68" s="9">
        <v>5700</v>
      </c>
      <c r="F68" s="8">
        <v>5</v>
      </c>
      <c r="G68" s="8">
        <v>130</v>
      </c>
      <c r="H68" s="8">
        <v>410</v>
      </c>
      <c r="I68" s="9">
        <v>65500</v>
      </c>
      <c r="J68" s="8">
        <v>3</v>
      </c>
      <c r="K68" s="10">
        <v>4</v>
      </c>
      <c r="L68" s="10">
        <v>5</v>
      </c>
    </row>
    <row r="69" spans="1:12" x14ac:dyDescent="0.3">
      <c r="A69" s="7">
        <v>46090</v>
      </c>
      <c r="B69" s="8" t="s">
        <v>118</v>
      </c>
      <c r="C69" s="8"/>
      <c r="D69" s="8">
        <v>164</v>
      </c>
      <c r="E69" s="9">
        <v>5200</v>
      </c>
      <c r="F69" s="8">
        <v>28</v>
      </c>
      <c r="G69" s="8">
        <v>129</v>
      </c>
      <c r="H69" s="8">
        <v>439</v>
      </c>
      <c r="I69" s="9">
        <v>69200</v>
      </c>
      <c r="J69" s="8">
        <v>5</v>
      </c>
      <c r="K69" s="10">
        <v>4.5</v>
      </c>
      <c r="L69" s="10">
        <v>7.4</v>
      </c>
    </row>
    <row r="70" spans="1:12" x14ac:dyDescent="0.3">
      <c r="A70" s="7">
        <v>46091</v>
      </c>
      <c r="B70" s="8" t="s">
        <v>119</v>
      </c>
      <c r="C70" s="8" t="s">
        <v>51</v>
      </c>
      <c r="D70" s="8">
        <v>158</v>
      </c>
      <c r="E70" s="9">
        <v>5800</v>
      </c>
      <c r="F70" s="8">
        <v>5</v>
      </c>
      <c r="G70" s="8">
        <v>175</v>
      </c>
      <c r="H70" s="8">
        <v>585</v>
      </c>
      <c r="I70" s="9">
        <v>50500</v>
      </c>
      <c r="J70" s="8">
        <v>1</v>
      </c>
      <c r="K70" s="10">
        <v>4.2</v>
      </c>
      <c r="L70" s="10"/>
    </row>
    <row r="71" spans="1:12" x14ac:dyDescent="0.3">
      <c r="A71" s="7">
        <v>46092</v>
      </c>
      <c r="B71" s="8" t="s">
        <v>120</v>
      </c>
      <c r="C71" s="8" t="s">
        <v>49</v>
      </c>
      <c r="D71" s="8">
        <v>163</v>
      </c>
      <c r="E71" s="9">
        <v>5550</v>
      </c>
      <c r="F71" s="8">
        <v>39</v>
      </c>
      <c r="G71" s="8">
        <v>124</v>
      </c>
      <c r="H71" s="8">
        <v>416</v>
      </c>
      <c r="I71" s="9">
        <v>59000</v>
      </c>
      <c r="J71" s="8">
        <v>5</v>
      </c>
      <c r="K71" s="10">
        <v>3.7</v>
      </c>
      <c r="L71" s="10">
        <v>6.4</v>
      </c>
    </row>
    <row r="72" spans="1:12" x14ac:dyDescent="0.3">
      <c r="A72" s="7">
        <v>46093</v>
      </c>
      <c r="B72" s="8" t="s">
        <v>121</v>
      </c>
      <c r="C72" s="8" t="s">
        <v>51</v>
      </c>
      <c r="D72" s="8">
        <v>141</v>
      </c>
      <c r="E72" s="9">
        <v>6600</v>
      </c>
      <c r="F72" s="8">
        <v>25</v>
      </c>
      <c r="G72" s="8">
        <v>168</v>
      </c>
      <c r="H72" s="8"/>
      <c r="I72" s="9">
        <v>57900</v>
      </c>
      <c r="J72" s="8">
        <v>3</v>
      </c>
      <c r="K72" s="10">
        <v>4</v>
      </c>
      <c r="L72" s="10">
        <v>6.8</v>
      </c>
    </row>
    <row r="73" spans="1:12" x14ac:dyDescent="0.3">
      <c r="A73" s="7">
        <v>46094</v>
      </c>
      <c r="B73" s="8" t="s">
        <v>122</v>
      </c>
      <c r="C73" s="8" t="s">
        <v>51</v>
      </c>
      <c r="D73" s="8">
        <v>167</v>
      </c>
      <c r="E73" s="9">
        <v>6600</v>
      </c>
      <c r="F73" s="8">
        <v>5</v>
      </c>
      <c r="G73" s="8">
        <v>170</v>
      </c>
      <c r="H73" s="8"/>
      <c r="I73" s="9">
        <v>65700</v>
      </c>
      <c r="J73" s="8">
        <v>2</v>
      </c>
      <c r="K73" s="10">
        <v>4.3</v>
      </c>
      <c r="L73" s="10">
        <v>5</v>
      </c>
    </row>
    <row r="74" spans="1:12" x14ac:dyDescent="0.3">
      <c r="A74" s="7">
        <v>46095</v>
      </c>
      <c r="B74" s="8" t="s">
        <v>123</v>
      </c>
      <c r="C74" s="8" t="s">
        <v>56</v>
      </c>
      <c r="D74" s="8">
        <v>171</v>
      </c>
      <c r="E74" s="9">
        <v>6750</v>
      </c>
      <c r="F74" s="8">
        <v>21</v>
      </c>
      <c r="G74" s="8">
        <v>164</v>
      </c>
      <c r="H74" s="8"/>
      <c r="I74" s="9">
        <v>63600</v>
      </c>
      <c r="J74" s="8">
        <v>6</v>
      </c>
      <c r="K74" s="10">
        <v>3.9</v>
      </c>
      <c r="L74" s="10">
        <v>5.3</v>
      </c>
    </row>
    <row r="75" spans="1:12" x14ac:dyDescent="0.3">
      <c r="A75" s="7">
        <v>46096</v>
      </c>
      <c r="B75" s="8" t="s">
        <v>124</v>
      </c>
      <c r="C75" s="8" t="s">
        <v>56</v>
      </c>
      <c r="D75" s="8">
        <v>167</v>
      </c>
      <c r="E75" s="9">
        <v>6250</v>
      </c>
      <c r="F75" s="8">
        <v>2</v>
      </c>
      <c r="G75" s="8">
        <v>155</v>
      </c>
      <c r="H75" s="8">
        <v>528</v>
      </c>
      <c r="I75" s="9">
        <v>62600</v>
      </c>
      <c r="J75" s="8">
        <v>3</v>
      </c>
      <c r="K75" s="10">
        <v>4.4000000000000004</v>
      </c>
      <c r="L75" s="10">
        <v>5.0999999999999996</v>
      </c>
    </row>
    <row r="76" spans="1:12" x14ac:dyDescent="0.3">
      <c r="A76" s="7">
        <v>46097</v>
      </c>
      <c r="B76" s="8" t="s">
        <v>125</v>
      </c>
      <c r="C76" s="8" t="s">
        <v>56</v>
      </c>
      <c r="D76" s="8">
        <v>148</v>
      </c>
      <c r="E76" s="9">
        <v>5250</v>
      </c>
      <c r="F76" s="8">
        <v>29</v>
      </c>
      <c r="G76" s="8">
        <v>166</v>
      </c>
      <c r="H76" s="8">
        <v>545</v>
      </c>
      <c r="I76" s="9">
        <v>55000</v>
      </c>
      <c r="J76" s="8">
        <v>2</v>
      </c>
      <c r="K76" s="10"/>
      <c r="L76" s="10">
        <v>5.7</v>
      </c>
    </row>
    <row r="77" spans="1:12" x14ac:dyDescent="0.3">
      <c r="A77" s="7">
        <v>46098</v>
      </c>
      <c r="B77" s="8" t="s">
        <v>126</v>
      </c>
      <c r="C77" s="8" t="s">
        <v>51</v>
      </c>
      <c r="D77" s="8"/>
      <c r="E77" s="9">
        <v>5900</v>
      </c>
      <c r="F77" s="8">
        <v>15</v>
      </c>
      <c r="G77" s="8">
        <v>170</v>
      </c>
      <c r="H77" s="8">
        <v>566</v>
      </c>
      <c r="I77" s="9">
        <v>43100</v>
      </c>
      <c r="J77" s="8">
        <v>3</v>
      </c>
      <c r="K77" s="10">
        <v>4.2</v>
      </c>
      <c r="L77" s="10">
        <v>7.2</v>
      </c>
    </row>
    <row r="78" spans="1:12" x14ac:dyDescent="0.3">
      <c r="A78" s="7">
        <v>46099</v>
      </c>
      <c r="B78" s="8" t="s">
        <v>127</v>
      </c>
      <c r="C78" s="8" t="s">
        <v>49</v>
      </c>
      <c r="D78" s="8">
        <v>157</v>
      </c>
      <c r="E78" s="9">
        <v>4900</v>
      </c>
      <c r="F78" s="8">
        <v>10</v>
      </c>
      <c r="G78" s="8">
        <v>134</v>
      </c>
      <c r="H78" s="8">
        <v>437</v>
      </c>
      <c r="I78" s="9">
        <v>58000</v>
      </c>
      <c r="J78" s="8">
        <v>8</v>
      </c>
      <c r="K78" s="10">
        <v>9.4</v>
      </c>
      <c r="L78" s="10">
        <v>5.6</v>
      </c>
    </row>
    <row r="79" spans="1:12" x14ac:dyDescent="0.3">
      <c r="A79" s="7">
        <v>46100</v>
      </c>
      <c r="B79" s="8" t="s">
        <v>128</v>
      </c>
      <c r="C79" s="8" t="s">
        <v>56</v>
      </c>
      <c r="D79" s="8"/>
      <c r="E79" s="9"/>
      <c r="F79" s="8">
        <v>20</v>
      </c>
      <c r="G79" s="8">
        <v>173</v>
      </c>
      <c r="H79" s="8">
        <v>566</v>
      </c>
      <c r="I79" s="9">
        <v>61000</v>
      </c>
      <c r="J79" s="8">
        <v>5</v>
      </c>
      <c r="K79" s="10">
        <v>4.0999999999999996</v>
      </c>
      <c r="L79" s="10">
        <v>5.5</v>
      </c>
    </row>
    <row r="80" spans="1:12" x14ac:dyDescent="0.3">
      <c r="A80" s="7">
        <v>46101</v>
      </c>
      <c r="B80" s="8" t="s">
        <v>129</v>
      </c>
      <c r="C80" s="8" t="s">
        <v>49</v>
      </c>
      <c r="D80" s="8">
        <v>154</v>
      </c>
      <c r="E80" s="9">
        <v>5800</v>
      </c>
      <c r="F80" s="8">
        <v>12</v>
      </c>
      <c r="G80" s="8">
        <v>129</v>
      </c>
      <c r="H80" s="8">
        <v>439</v>
      </c>
      <c r="I80" s="9">
        <v>47300</v>
      </c>
      <c r="J80" s="8">
        <v>6</v>
      </c>
      <c r="K80" s="10">
        <v>4.0999999999999996</v>
      </c>
      <c r="L80" s="10">
        <v>7.4</v>
      </c>
    </row>
    <row r="81" spans="1:12" x14ac:dyDescent="0.3">
      <c r="A81" s="7">
        <v>46102</v>
      </c>
      <c r="B81" s="8" t="s">
        <v>130</v>
      </c>
      <c r="C81" s="8" t="s">
        <v>49</v>
      </c>
      <c r="D81" s="8">
        <v>167</v>
      </c>
      <c r="E81" s="9">
        <v>5350</v>
      </c>
      <c r="F81" s="8">
        <v>11</v>
      </c>
      <c r="G81" s="8">
        <v>132</v>
      </c>
      <c r="H81" s="8">
        <v>436</v>
      </c>
      <c r="I81" s="9">
        <v>70600</v>
      </c>
      <c r="J81" s="8">
        <v>5</v>
      </c>
      <c r="K81" s="10">
        <v>4.5999999999999996</v>
      </c>
      <c r="L81" s="10">
        <v>7.2</v>
      </c>
    </row>
    <row r="82" spans="1:12" x14ac:dyDescent="0.3">
      <c r="A82" s="7">
        <v>46103</v>
      </c>
      <c r="B82" s="8" t="s">
        <v>131</v>
      </c>
      <c r="C82" s="8" t="s">
        <v>49</v>
      </c>
      <c r="D82" s="8">
        <v>161</v>
      </c>
      <c r="E82" s="9">
        <v>5600</v>
      </c>
      <c r="F82" s="8">
        <v>18</v>
      </c>
      <c r="G82" s="8">
        <v>131</v>
      </c>
      <c r="H82" s="8">
        <v>430</v>
      </c>
      <c r="I82" s="9">
        <v>74900</v>
      </c>
      <c r="J82" s="8">
        <v>7</v>
      </c>
      <c r="K82" s="10">
        <v>4.3</v>
      </c>
      <c r="L82" s="10">
        <v>6</v>
      </c>
    </row>
    <row r="83" spans="1:12" x14ac:dyDescent="0.3">
      <c r="A83" s="7">
        <v>46104</v>
      </c>
      <c r="B83" s="8" t="s">
        <v>132</v>
      </c>
      <c r="C83" s="8" t="s">
        <v>51</v>
      </c>
      <c r="D83" s="8">
        <v>152</v>
      </c>
      <c r="E83" s="9">
        <v>6150</v>
      </c>
      <c r="F83" s="8">
        <v>26</v>
      </c>
      <c r="G83" s="8">
        <v>171</v>
      </c>
      <c r="H83" s="8">
        <v>573</v>
      </c>
      <c r="I83" s="9">
        <v>60400</v>
      </c>
      <c r="J83" s="8">
        <v>3</v>
      </c>
      <c r="K83" s="10">
        <v>4.0999999999999996</v>
      </c>
      <c r="L83" s="10">
        <v>10.1</v>
      </c>
    </row>
    <row r="84" spans="1:12" x14ac:dyDescent="0.3">
      <c r="A84" s="7">
        <v>46105</v>
      </c>
      <c r="B84" s="8" t="s">
        <v>133</v>
      </c>
      <c r="C84" s="8"/>
      <c r="D84" s="8">
        <v>132</v>
      </c>
      <c r="E84" s="9">
        <v>5900</v>
      </c>
      <c r="F84" s="8">
        <v>13</v>
      </c>
      <c r="G84" s="8">
        <v>169</v>
      </c>
      <c r="H84" s="8">
        <v>567</v>
      </c>
      <c r="I84" s="9">
        <v>49800</v>
      </c>
      <c r="J84" s="8">
        <v>2</v>
      </c>
      <c r="K84" s="10">
        <v>3.7</v>
      </c>
      <c r="L84" s="10">
        <v>4.5999999999999996</v>
      </c>
    </row>
    <row r="85" spans="1:12" x14ac:dyDescent="0.3">
      <c r="A85" s="7">
        <v>46106</v>
      </c>
      <c r="B85" s="8" t="s">
        <v>134</v>
      </c>
      <c r="C85" s="8" t="s">
        <v>49</v>
      </c>
      <c r="D85" s="8">
        <v>132</v>
      </c>
      <c r="E85" s="9">
        <v>4950</v>
      </c>
      <c r="F85" s="8">
        <v>15</v>
      </c>
      <c r="G85" s="8">
        <v>132</v>
      </c>
      <c r="H85" s="8">
        <v>425</v>
      </c>
      <c r="I85" s="9">
        <v>47700</v>
      </c>
      <c r="J85" s="8">
        <v>4</v>
      </c>
      <c r="K85" s="10">
        <v>3.8</v>
      </c>
      <c r="L85" s="10">
        <v>8.6</v>
      </c>
    </row>
    <row r="86" spans="1:12" x14ac:dyDescent="0.3">
      <c r="A86" s="7">
        <v>46107</v>
      </c>
      <c r="B86" s="8" t="s">
        <v>135</v>
      </c>
      <c r="C86" s="8" t="s">
        <v>49</v>
      </c>
      <c r="D86" s="8">
        <v>154</v>
      </c>
      <c r="E86" s="9">
        <v>5250</v>
      </c>
      <c r="F86" s="8">
        <v>28</v>
      </c>
      <c r="G86" s="8">
        <v>135</v>
      </c>
      <c r="H86" s="8">
        <v>436</v>
      </c>
      <c r="I86" s="9">
        <v>62300</v>
      </c>
      <c r="J86" s="8">
        <v>1</v>
      </c>
      <c r="K86" s="10">
        <v>3.6</v>
      </c>
      <c r="L86" s="10">
        <v>6.8</v>
      </c>
    </row>
    <row r="87" spans="1:12" x14ac:dyDescent="0.3">
      <c r="A87" s="7">
        <v>46108</v>
      </c>
      <c r="B87" s="8" t="s">
        <v>136</v>
      </c>
      <c r="C87" s="8" t="s">
        <v>51</v>
      </c>
      <c r="D87" s="8">
        <v>159</v>
      </c>
      <c r="E87" s="9">
        <v>6850</v>
      </c>
      <c r="F87" s="8">
        <v>25</v>
      </c>
      <c r="G87" s="8">
        <v>167</v>
      </c>
      <c r="H87" s="8">
        <v>561</v>
      </c>
      <c r="I87" s="9">
        <v>56800</v>
      </c>
      <c r="J87" s="8">
        <v>1</v>
      </c>
      <c r="K87" s="10">
        <v>4.0999999999999996</v>
      </c>
      <c r="L87" s="10">
        <v>7.9</v>
      </c>
    </row>
    <row r="88" spans="1:12" x14ac:dyDescent="0.3">
      <c r="A88" s="7">
        <v>46109</v>
      </c>
      <c r="B88" s="8" t="s">
        <v>137</v>
      </c>
      <c r="C88" s="8" t="s">
        <v>51</v>
      </c>
      <c r="D88" s="8">
        <v>160</v>
      </c>
      <c r="E88" s="9"/>
      <c r="F88" s="8">
        <v>18</v>
      </c>
      <c r="G88" s="8">
        <v>178</v>
      </c>
      <c r="H88" s="8">
        <v>595</v>
      </c>
      <c r="I88" s="9">
        <v>56200</v>
      </c>
      <c r="J88" s="8">
        <v>2</v>
      </c>
      <c r="K88" s="10">
        <v>4.0999999999999996</v>
      </c>
      <c r="L88" s="10">
        <v>5.8</v>
      </c>
    </row>
    <row r="89" spans="1:12" x14ac:dyDescent="0.3">
      <c r="A89" s="7">
        <v>46110</v>
      </c>
      <c r="B89" s="8" t="s">
        <v>138</v>
      </c>
      <c r="C89" s="8" t="s">
        <v>51</v>
      </c>
      <c r="D89" s="8">
        <v>160</v>
      </c>
      <c r="E89" s="9">
        <v>6350</v>
      </c>
      <c r="F89" s="8">
        <v>15</v>
      </c>
      <c r="G89" s="8">
        <v>172</v>
      </c>
      <c r="H89" s="8">
        <v>565</v>
      </c>
      <c r="I89" s="9">
        <v>48900</v>
      </c>
      <c r="J89" s="8">
        <v>3</v>
      </c>
      <c r="K89" s="10">
        <v>4.3</v>
      </c>
      <c r="L89" s="10">
        <v>8</v>
      </c>
    </row>
    <row r="90" spans="1:12" x14ac:dyDescent="0.3">
      <c r="A90" s="7">
        <v>46111</v>
      </c>
      <c r="B90" s="8" t="s">
        <v>139</v>
      </c>
      <c r="C90" s="8" t="s">
        <v>51</v>
      </c>
      <c r="D90" s="8">
        <v>155</v>
      </c>
      <c r="E90" s="9">
        <v>6050</v>
      </c>
      <c r="F90" s="8">
        <v>18</v>
      </c>
      <c r="G90" s="8">
        <v>171</v>
      </c>
      <c r="H90" s="8">
        <v>581</v>
      </c>
      <c r="I90" s="9">
        <v>60200</v>
      </c>
      <c r="J90" s="8">
        <v>4</v>
      </c>
      <c r="K90" s="10">
        <v>4.4000000000000004</v>
      </c>
      <c r="L90" s="10">
        <v>4.8</v>
      </c>
    </row>
    <row r="91" spans="1:12" x14ac:dyDescent="0.3">
      <c r="A91" s="7">
        <v>46112</v>
      </c>
      <c r="B91" s="8" t="s">
        <v>140</v>
      </c>
      <c r="C91" s="8" t="s">
        <v>56</v>
      </c>
      <c r="D91" s="8">
        <v>150</v>
      </c>
      <c r="E91" s="9">
        <v>5900</v>
      </c>
      <c r="F91" s="8"/>
      <c r="G91" s="8">
        <v>156</v>
      </c>
      <c r="H91" s="8">
        <v>513</v>
      </c>
      <c r="I91" s="9">
        <v>55500</v>
      </c>
      <c r="J91" s="8">
        <v>4</v>
      </c>
      <c r="K91" s="10">
        <v>3.9</v>
      </c>
      <c r="L91" s="10">
        <v>7.2</v>
      </c>
    </row>
    <row r="92" spans="1:12" x14ac:dyDescent="0.3">
      <c r="A92" s="7">
        <v>46113</v>
      </c>
      <c r="B92" s="8" t="s">
        <v>141</v>
      </c>
      <c r="C92" s="8" t="s">
        <v>56</v>
      </c>
      <c r="D92" s="8">
        <v>152</v>
      </c>
      <c r="E92" s="9">
        <v>5650</v>
      </c>
      <c r="F92" s="8"/>
      <c r="G92" s="8">
        <v>165</v>
      </c>
      <c r="H92" s="8">
        <v>517</v>
      </c>
      <c r="I92" s="9">
        <v>56500</v>
      </c>
      <c r="J92" s="8">
        <v>4</v>
      </c>
      <c r="K92" s="10">
        <v>3.7</v>
      </c>
      <c r="L92" s="10">
        <v>6.8</v>
      </c>
    </row>
    <row r="93" spans="1:12" x14ac:dyDescent="0.3">
      <c r="A93" s="7">
        <v>46114</v>
      </c>
      <c r="B93" s="8" t="s">
        <v>142</v>
      </c>
      <c r="C93" s="8"/>
      <c r="D93" s="8">
        <v>153</v>
      </c>
      <c r="E93" s="9">
        <v>5100</v>
      </c>
      <c r="F93" s="8">
        <v>18</v>
      </c>
      <c r="G93" s="8">
        <v>410</v>
      </c>
      <c r="H93" s="8">
        <v>405</v>
      </c>
      <c r="I93" s="9">
        <v>58100</v>
      </c>
      <c r="J93" s="8">
        <v>5</v>
      </c>
      <c r="K93" s="10">
        <v>3.9</v>
      </c>
      <c r="L93" s="10">
        <v>7.6</v>
      </c>
    </row>
    <row r="94" spans="1:12" x14ac:dyDescent="0.3">
      <c r="A94" s="7">
        <v>46115</v>
      </c>
      <c r="B94" s="8" t="s">
        <v>143</v>
      </c>
      <c r="C94" s="8" t="s">
        <v>56</v>
      </c>
      <c r="D94" s="8">
        <v>169</v>
      </c>
      <c r="E94" s="9">
        <v>6200</v>
      </c>
      <c r="F94" s="8">
        <v>29</v>
      </c>
      <c r="G94" s="8">
        <v>167</v>
      </c>
      <c r="H94" s="8">
        <v>530</v>
      </c>
      <c r="I94" s="9">
        <v>60000</v>
      </c>
      <c r="J94" s="8">
        <v>0</v>
      </c>
      <c r="K94" s="10">
        <v>4.2</v>
      </c>
      <c r="L94" s="10">
        <v>5.7</v>
      </c>
    </row>
    <row r="95" spans="1:12" x14ac:dyDescent="0.3">
      <c r="A95" s="7">
        <v>46116</v>
      </c>
      <c r="B95" s="8" t="s">
        <v>144</v>
      </c>
      <c r="C95" s="8" t="s">
        <v>56</v>
      </c>
      <c r="D95" s="8">
        <v>152</v>
      </c>
      <c r="E95" s="9">
        <v>5950</v>
      </c>
      <c r="F95" s="8">
        <v>2</v>
      </c>
      <c r="G95" s="8">
        <v>169</v>
      </c>
      <c r="H95" s="8">
        <v>574</v>
      </c>
      <c r="I95" s="9">
        <v>58800</v>
      </c>
      <c r="J95" s="8">
        <v>4</v>
      </c>
      <c r="K95" s="10">
        <v>4.3</v>
      </c>
      <c r="L95" s="10">
        <v>6.6</v>
      </c>
    </row>
    <row r="96" spans="1:12" x14ac:dyDescent="0.3">
      <c r="A96" s="7">
        <v>46117</v>
      </c>
      <c r="B96" s="8" t="s">
        <v>145</v>
      </c>
      <c r="C96" s="8" t="s">
        <v>51</v>
      </c>
      <c r="D96" s="8">
        <v>167</v>
      </c>
      <c r="E96" s="9">
        <v>6550</v>
      </c>
      <c r="F96" s="8">
        <v>2</v>
      </c>
      <c r="G96" s="8">
        <v>175</v>
      </c>
      <c r="H96" s="8">
        <v>585</v>
      </c>
      <c r="I96" s="9">
        <v>57100</v>
      </c>
      <c r="J96" s="8"/>
      <c r="K96" s="10">
        <v>4</v>
      </c>
      <c r="L96" s="10">
        <v>4.8</v>
      </c>
    </row>
    <row r="97" spans="1:12" x14ac:dyDescent="0.3">
      <c r="A97" s="7">
        <v>46118</v>
      </c>
      <c r="B97" s="8" t="s">
        <v>146</v>
      </c>
      <c r="C97" s="8" t="s">
        <v>51</v>
      </c>
      <c r="D97" s="8">
        <v>158</v>
      </c>
      <c r="E97" s="9">
        <v>5950</v>
      </c>
      <c r="F97" s="8">
        <v>4</v>
      </c>
      <c r="G97" s="8"/>
      <c r="H97" s="8">
        <v>559</v>
      </c>
      <c r="I97" s="9">
        <v>59400</v>
      </c>
      <c r="J97" s="8">
        <v>1</v>
      </c>
      <c r="K97" s="10">
        <v>4.0999999999999996</v>
      </c>
      <c r="L97" s="10">
        <v>5.5</v>
      </c>
    </row>
    <row r="98" spans="1:12" x14ac:dyDescent="0.3">
      <c r="A98" s="7">
        <v>46119</v>
      </c>
      <c r="B98" s="8" t="s">
        <v>147</v>
      </c>
      <c r="C98" s="8" t="s">
        <v>51</v>
      </c>
      <c r="D98" s="8">
        <v>151</v>
      </c>
      <c r="E98" s="9">
        <v>6600</v>
      </c>
      <c r="F98" s="8">
        <v>8</v>
      </c>
      <c r="G98" s="8">
        <v>170</v>
      </c>
      <c r="H98" s="8">
        <v>529</v>
      </c>
      <c r="I98" s="9">
        <v>55900</v>
      </c>
      <c r="J98" s="8">
        <v>3</v>
      </c>
      <c r="K98" s="10">
        <v>4.3</v>
      </c>
      <c r="L98" s="10">
        <v>5.7</v>
      </c>
    </row>
    <row r="99" spans="1:12" x14ac:dyDescent="0.3">
      <c r="A99" s="7">
        <v>46120</v>
      </c>
      <c r="B99" s="8" t="s">
        <v>148</v>
      </c>
      <c r="C99" s="8" t="s">
        <v>56</v>
      </c>
      <c r="D99" s="8"/>
      <c r="E99" s="9">
        <v>5650</v>
      </c>
      <c r="F99" s="8">
        <v>9</v>
      </c>
      <c r="G99" s="8">
        <v>167</v>
      </c>
      <c r="H99" s="8">
        <v>530</v>
      </c>
      <c r="I99" s="9">
        <v>46100</v>
      </c>
      <c r="J99" s="8"/>
      <c r="K99" s="10">
        <v>4.2</v>
      </c>
      <c r="L99" s="10">
        <v>5.2</v>
      </c>
    </row>
    <row r="100" spans="1:12" x14ac:dyDescent="0.3">
      <c r="A100" s="7">
        <v>46121</v>
      </c>
      <c r="B100" s="8" t="s">
        <v>149</v>
      </c>
      <c r="C100" s="8" t="s">
        <v>49</v>
      </c>
      <c r="D100" s="8">
        <v>154</v>
      </c>
      <c r="E100" s="9">
        <v>5350</v>
      </c>
      <c r="F100" s="8">
        <v>16</v>
      </c>
      <c r="G100" s="8">
        <v>122</v>
      </c>
      <c r="H100" s="8">
        <v>400</v>
      </c>
      <c r="I100" s="9">
        <v>52000</v>
      </c>
      <c r="J100" s="8">
        <v>1</v>
      </c>
      <c r="K100" s="10">
        <v>4.4000000000000004</v>
      </c>
      <c r="L100" s="10">
        <v>5.5</v>
      </c>
    </row>
    <row r="101" spans="1:12" x14ac:dyDescent="0.3">
      <c r="A101" s="7">
        <v>46122</v>
      </c>
      <c r="B101" s="8" t="s">
        <v>150</v>
      </c>
      <c r="C101" s="8" t="s">
        <v>51</v>
      </c>
      <c r="D101" s="8">
        <v>168</v>
      </c>
      <c r="E101" s="9">
        <v>6700</v>
      </c>
      <c r="F101" s="8">
        <v>21</v>
      </c>
      <c r="G101" s="8">
        <v>168</v>
      </c>
      <c r="H101" s="8">
        <v>529</v>
      </c>
      <c r="I101" s="9">
        <v>60400</v>
      </c>
      <c r="J101" s="8">
        <v>2</v>
      </c>
      <c r="K101" s="10">
        <v>3.9</v>
      </c>
      <c r="L101" s="10">
        <v>4.5</v>
      </c>
    </row>
    <row r="102" spans="1:12" x14ac:dyDescent="0.3">
      <c r="A102" s="7">
        <v>46123</v>
      </c>
      <c r="B102" s="8" t="s">
        <v>151</v>
      </c>
      <c r="C102" s="8" t="s">
        <v>56</v>
      </c>
      <c r="D102" s="8">
        <v>145</v>
      </c>
      <c r="E102" s="9">
        <v>5950</v>
      </c>
      <c r="F102" s="8">
        <v>16</v>
      </c>
      <c r="G102" s="8">
        <v>163</v>
      </c>
      <c r="H102" s="8">
        <v>551</v>
      </c>
      <c r="I102" s="9">
        <v>52200</v>
      </c>
      <c r="J102" s="8">
        <v>3</v>
      </c>
      <c r="K102" s="10"/>
      <c r="L102" s="10">
        <v>6.1</v>
      </c>
    </row>
    <row r="103" spans="1:12" x14ac:dyDescent="0.3">
      <c r="A103" s="7">
        <v>46124</v>
      </c>
      <c r="B103" s="8" t="s">
        <v>152</v>
      </c>
      <c r="C103" s="8" t="s">
        <v>49</v>
      </c>
      <c r="D103" s="8">
        <v>159</v>
      </c>
      <c r="E103" s="9">
        <v>5250</v>
      </c>
      <c r="F103" s="8">
        <v>17</v>
      </c>
      <c r="G103" s="8">
        <v>132</v>
      </c>
      <c r="H103" s="8">
        <v>434</v>
      </c>
      <c r="I103" s="9">
        <v>61900</v>
      </c>
      <c r="J103" s="8">
        <v>3</v>
      </c>
      <c r="K103" s="10">
        <v>3.9</v>
      </c>
      <c r="L103" s="10">
        <v>8.4</v>
      </c>
    </row>
    <row r="104" spans="1:12" x14ac:dyDescent="0.3">
      <c r="A104" s="7">
        <v>46125</v>
      </c>
      <c r="B104" s="8" t="s">
        <v>153</v>
      </c>
      <c r="C104" s="8" t="s">
        <v>51</v>
      </c>
      <c r="D104" s="8">
        <v>151</v>
      </c>
      <c r="E104" s="9">
        <v>5950</v>
      </c>
      <c r="F104" s="8">
        <v>11</v>
      </c>
      <c r="G104" s="8">
        <v>168</v>
      </c>
      <c r="H104" s="8">
        <v>552</v>
      </c>
      <c r="I104" s="9">
        <v>55200</v>
      </c>
      <c r="J104" s="8">
        <v>2</v>
      </c>
      <c r="K104" s="10">
        <v>4.5</v>
      </c>
      <c r="L104" s="10">
        <v>10.4</v>
      </c>
    </row>
    <row r="105" spans="1:12" x14ac:dyDescent="0.3">
      <c r="A105" s="7">
        <v>46126</v>
      </c>
      <c r="B105" s="8" t="s">
        <v>154</v>
      </c>
      <c r="C105" s="8" t="s">
        <v>51</v>
      </c>
      <c r="D105" s="8">
        <v>142</v>
      </c>
      <c r="E105" s="9">
        <v>6300</v>
      </c>
      <c r="F105" s="8">
        <v>33</v>
      </c>
      <c r="G105" s="8">
        <v>173</v>
      </c>
      <c r="H105" s="8">
        <v>570</v>
      </c>
      <c r="I105" s="9">
        <v>53700</v>
      </c>
      <c r="J105" s="8">
        <v>1</v>
      </c>
      <c r="K105" s="10">
        <v>4.3</v>
      </c>
      <c r="L105" s="10">
        <v>5.3</v>
      </c>
    </row>
    <row r="106" spans="1:12" x14ac:dyDescent="0.3">
      <c r="A106" s="7">
        <v>46127</v>
      </c>
      <c r="B106" s="8" t="s">
        <v>155</v>
      </c>
      <c r="C106" s="8" t="s">
        <v>56</v>
      </c>
      <c r="D106" s="8">
        <v>143</v>
      </c>
      <c r="E106" s="9">
        <v>5650</v>
      </c>
      <c r="F106" s="8">
        <v>19</v>
      </c>
      <c r="G106" s="8">
        <v>164</v>
      </c>
      <c r="H106" s="8">
        <v>528</v>
      </c>
      <c r="I106" s="9">
        <v>148000</v>
      </c>
      <c r="J106" s="8">
        <v>8</v>
      </c>
      <c r="K106" s="10">
        <v>4.3</v>
      </c>
      <c r="L106" s="10">
        <v>5.2</v>
      </c>
    </row>
    <row r="107" spans="1:12" x14ac:dyDescent="0.3">
      <c r="A107" s="7">
        <v>46128</v>
      </c>
      <c r="B107" s="8" t="s">
        <v>156</v>
      </c>
      <c r="C107" s="8" t="s">
        <v>49</v>
      </c>
      <c r="D107" s="8">
        <v>131</v>
      </c>
      <c r="E107" s="9">
        <v>5000</v>
      </c>
      <c r="F107" s="8">
        <v>12</v>
      </c>
      <c r="G107" s="8">
        <v>133</v>
      </c>
      <c r="H107" s="8">
        <v>424</v>
      </c>
      <c r="I107" s="9">
        <v>37900</v>
      </c>
      <c r="J107" s="8">
        <v>3</v>
      </c>
      <c r="K107" s="10"/>
      <c r="L107" s="10">
        <v>6.7</v>
      </c>
    </row>
    <row r="108" spans="1:12" x14ac:dyDescent="0.3">
      <c r="A108" s="7">
        <v>46129</v>
      </c>
      <c r="B108" s="8" t="s">
        <v>157</v>
      </c>
      <c r="C108" s="8" t="s">
        <v>51</v>
      </c>
      <c r="D108" s="8">
        <v>145</v>
      </c>
      <c r="E108" s="9">
        <v>5700</v>
      </c>
      <c r="F108" s="8">
        <v>21</v>
      </c>
      <c r="G108" s="8">
        <v>179</v>
      </c>
      <c r="H108" s="8">
        <v>564</v>
      </c>
      <c r="I108" s="9">
        <v>54500</v>
      </c>
      <c r="J108" s="8">
        <v>2</v>
      </c>
      <c r="K108" s="10">
        <v>4.5</v>
      </c>
      <c r="L108" s="10">
        <v>7.1</v>
      </c>
    </row>
    <row r="109" spans="1:12" x14ac:dyDescent="0.3">
      <c r="A109" s="7">
        <v>46130</v>
      </c>
      <c r="B109" s="8" t="s">
        <v>158</v>
      </c>
      <c r="C109" s="8" t="s">
        <v>56</v>
      </c>
      <c r="D109" s="8">
        <v>140</v>
      </c>
      <c r="E109" s="9">
        <v>6150</v>
      </c>
      <c r="F109" s="8">
        <v>12</v>
      </c>
      <c r="G109" s="8">
        <v>171</v>
      </c>
      <c r="H109" s="8">
        <v>565</v>
      </c>
      <c r="I109" s="9"/>
      <c r="J109" s="8">
        <v>2</v>
      </c>
      <c r="K109" s="10">
        <v>4.5999999999999996</v>
      </c>
      <c r="L109" s="10">
        <v>4.2</v>
      </c>
    </row>
    <row r="110" spans="1:12" x14ac:dyDescent="0.3">
      <c r="A110" s="7">
        <v>46131</v>
      </c>
      <c r="B110" s="8" t="s">
        <v>159</v>
      </c>
      <c r="C110" s="8" t="s">
        <v>51</v>
      </c>
      <c r="D110" s="8">
        <v>151</v>
      </c>
      <c r="E110" s="9">
        <v>6700</v>
      </c>
      <c r="F110" s="8">
        <v>16</v>
      </c>
      <c r="G110" s="8">
        <v>174</v>
      </c>
      <c r="H110" s="8">
        <v>580</v>
      </c>
      <c r="I110" s="9"/>
      <c r="J110" s="8">
        <v>1</v>
      </c>
      <c r="K110" s="10">
        <v>4.5999999999999996</v>
      </c>
      <c r="L110" s="10">
        <v>2.8</v>
      </c>
    </row>
    <row r="111" spans="1:12" x14ac:dyDescent="0.3">
      <c r="A111" s="7">
        <v>46132</v>
      </c>
      <c r="B111" s="8" t="s">
        <v>160</v>
      </c>
      <c r="C111" s="8" t="s">
        <v>49</v>
      </c>
      <c r="D111" s="8">
        <v>143</v>
      </c>
      <c r="E111" s="9">
        <v>5350</v>
      </c>
      <c r="F111" s="8">
        <v>26</v>
      </c>
      <c r="G111" s="8">
        <v>135</v>
      </c>
      <c r="H111" s="8"/>
      <c r="I111" s="9">
        <v>50500</v>
      </c>
      <c r="J111" s="8">
        <v>8</v>
      </c>
      <c r="K111" s="10">
        <v>3.9</v>
      </c>
      <c r="L111" s="10"/>
    </row>
    <row r="112" spans="1:12" x14ac:dyDescent="0.3">
      <c r="A112" s="7">
        <v>46133</v>
      </c>
      <c r="B112" s="8" t="s">
        <v>161</v>
      </c>
      <c r="C112" s="8" t="s">
        <v>51</v>
      </c>
      <c r="D112" s="8">
        <v>144</v>
      </c>
      <c r="E112" s="9">
        <v>6250</v>
      </c>
      <c r="F112" s="8">
        <v>11</v>
      </c>
      <c r="G112" s="8">
        <v>169</v>
      </c>
      <c r="H112" s="8">
        <v>554</v>
      </c>
      <c r="I112" s="9">
        <v>58000</v>
      </c>
      <c r="J112" s="8">
        <v>2</v>
      </c>
      <c r="K112" s="10">
        <v>4</v>
      </c>
      <c r="L112" s="10">
        <v>8.1999999999999993</v>
      </c>
    </row>
    <row r="113" spans="1:12" x14ac:dyDescent="0.3">
      <c r="A113" s="7">
        <v>46134</v>
      </c>
      <c r="B113" s="8" t="s">
        <v>162</v>
      </c>
      <c r="C113" s="8" t="s">
        <v>49</v>
      </c>
      <c r="D113" s="8">
        <v>154</v>
      </c>
      <c r="E113" s="9">
        <v>5100</v>
      </c>
      <c r="F113" s="8">
        <v>8</v>
      </c>
      <c r="G113" s="8"/>
      <c r="H113" s="8">
        <v>406</v>
      </c>
      <c r="I113" s="9">
        <v>58300</v>
      </c>
      <c r="J113" s="8">
        <v>4</v>
      </c>
      <c r="K113" s="10">
        <v>4.5999999999999996</v>
      </c>
      <c r="L113" s="10">
        <v>8.1999999999999993</v>
      </c>
    </row>
    <row r="114" spans="1:12" x14ac:dyDescent="0.3">
      <c r="A114" s="7">
        <v>46135</v>
      </c>
      <c r="B114" s="8" t="s">
        <v>163</v>
      </c>
      <c r="C114" s="8" t="s">
        <v>51</v>
      </c>
      <c r="D114" s="8">
        <v>148</v>
      </c>
      <c r="E114" s="9">
        <v>6050</v>
      </c>
      <c r="F114" s="8">
        <v>16</v>
      </c>
      <c r="G114" s="8">
        <v>167</v>
      </c>
      <c r="H114" s="8">
        <v>555</v>
      </c>
      <c r="I114" s="9">
        <v>59900</v>
      </c>
      <c r="J114" s="8">
        <v>1</v>
      </c>
      <c r="K114" s="10"/>
      <c r="L114" s="10">
        <v>6.2</v>
      </c>
    </row>
    <row r="115" spans="1:12" x14ac:dyDescent="0.3">
      <c r="A115" s="7">
        <v>46136</v>
      </c>
      <c r="B115" s="8" t="s">
        <v>164</v>
      </c>
      <c r="C115" s="8" t="s">
        <v>49</v>
      </c>
      <c r="D115" s="8">
        <v>149</v>
      </c>
      <c r="E115" s="9">
        <v>5850</v>
      </c>
      <c r="F115" s="8">
        <v>29</v>
      </c>
      <c r="G115" s="8">
        <v>131</v>
      </c>
      <c r="H115" s="8">
        <v>398</v>
      </c>
      <c r="I115" s="9">
        <v>60700</v>
      </c>
      <c r="J115" s="8">
        <v>3</v>
      </c>
      <c r="K115" s="10">
        <v>3.6</v>
      </c>
      <c r="L115" s="10">
        <v>8.6</v>
      </c>
    </row>
    <row r="116" spans="1:12" x14ac:dyDescent="0.3">
      <c r="A116" s="7">
        <v>46137</v>
      </c>
      <c r="B116" s="8" t="s">
        <v>165</v>
      </c>
      <c r="C116" s="8" t="s">
        <v>49</v>
      </c>
      <c r="D116" s="8">
        <v>149</v>
      </c>
      <c r="E116" s="9">
        <v>5600</v>
      </c>
      <c r="F116" s="8">
        <v>7</v>
      </c>
      <c r="G116" s="8">
        <v>136</v>
      </c>
      <c r="H116" s="8">
        <v>433</v>
      </c>
      <c r="I116" s="9">
        <v>53700</v>
      </c>
      <c r="J116" s="8">
        <v>0</v>
      </c>
      <c r="K116" s="10">
        <v>4.0999999999999996</v>
      </c>
      <c r="L116" s="10">
        <v>5.8</v>
      </c>
    </row>
    <row r="117" spans="1:12" x14ac:dyDescent="0.3">
      <c r="A117" s="7">
        <v>46138</v>
      </c>
      <c r="B117" s="8" t="s">
        <v>166</v>
      </c>
      <c r="C117" s="8" t="s">
        <v>49</v>
      </c>
      <c r="D117" s="8">
        <v>144</v>
      </c>
      <c r="E117" s="9">
        <v>4950</v>
      </c>
      <c r="F117" s="8">
        <v>33</v>
      </c>
      <c r="G117" s="8">
        <v>127</v>
      </c>
      <c r="H117" s="8">
        <v>410</v>
      </c>
      <c r="I117" s="9">
        <v>58800</v>
      </c>
      <c r="J117" s="8">
        <v>2</v>
      </c>
      <c r="K117" s="10">
        <v>4.3</v>
      </c>
      <c r="L117" s="10">
        <v>4.4000000000000004</v>
      </c>
    </row>
    <row r="118" spans="1:12" x14ac:dyDescent="0.3">
      <c r="A118" s="7">
        <v>46139</v>
      </c>
      <c r="B118" s="8" t="s">
        <v>167</v>
      </c>
      <c r="C118" s="8" t="s">
        <v>49</v>
      </c>
      <c r="D118" s="8">
        <v>148</v>
      </c>
      <c r="E118" s="9">
        <v>5500</v>
      </c>
      <c r="F118" s="8">
        <v>11</v>
      </c>
      <c r="G118" s="8">
        <v>132</v>
      </c>
      <c r="H118" s="8">
        <v>428</v>
      </c>
      <c r="I118" s="9">
        <v>57400</v>
      </c>
      <c r="J118" s="8">
        <v>2</v>
      </c>
      <c r="K118" s="10">
        <v>4.0999999999999996</v>
      </c>
      <c r="L118" s="10">
        <v>6</v>
      </c>
    </row>
    <row r="119" spans="1:12" x14ac:dyDescent="0.3">
      <c r="A119" s="7">
        <v>46140</v>
      </c>
      <c r="B119" s="8" t="s">
        <v>168</v>
      </c>
      <c r="C119" s="8" t="s">
        <v>51</v>
      </c>
      <c r="D119" s="8">
        <v>147</v>
      </c>
      <c r="E119" s="9">
        <v>5800</v>
      </c>
      <c r="F119" s="8"/>
      <c r="G119" s="8">
        <v>165</v>
      </c>
      <c r="H119" s="8">
        <v>548</v>
      </c>
      <c r="I119" s="9">
        <v>50400</v>
      </c>
      <c r="J119" s="8">
        <v>2</v>
      </c>
      <c r="K119" s="10">
        <v>4.3</v>
      </c>
      <c r="L119" s="10">
        <v>8</v>
      </c>
    </row>
    <row r="120" spans="1:12" x14ac:dyDescent="0.3">
      <c r="A120" s="7">
        <v>46141</v>
      </c>
      <c r="B120" s="8" t="s">
        <v>169</v>
      </c>
      <c r="C120" s="8" t="s">
        <v>49</v>
      </c>
      <c r="D120" s="8">
        <v>169</v>
      </c>
      <c r="E120" s="9">
        <v>5600</v>
      </c>
      <c r="F120" s="8">
        <v>10</v>
      </c>
      <c r="G120" s="8">
        <v>125</v>
      </c>
      <c r="H120" s="8">
        <v>410</v>
      </c>
      <c r="I120" s="9">
        <v>63500</v>
      </c>
      <c r="J120" s="8">
        <v>3</v>
      </c>
      <c r="K120" s="10">
        <v>4.3</v>
      </c>
      <c r="L120" s="10">
        <v>6.3</v>
      </c>
    </row>
    <row r="121" spans="1:12" x14ac:dyDescent="0.3">
      <c r="A121" s="7">
        <v>46142</v>
      </c>
      <c r="B121" s="8" t="s">
        <v>170</v>
      </c>
      <c r="C121" s="8" t="s">
        <v>51</v>
      </c>
      <c r="D121" s="8">
        <v>168</v>
      </c>
      <c r="E121" s="9"/>
      <c r="F121" s="8">
        <v>28</v>
      </c>
      <c r="G121" s="8">
        <v>173</v>
      </c>
      <c r="H121" s="8">
        <v>573</v>
      </c>
      <c r="I121" s="9">
        <v>64400</v>
      </c>
      <c r="J121" s="8">
        <v>1</v>
      </c>
      <c r="K121" s="10">
        <v>3.7</v>
      </c>
      <c r="L121" s="10">
        <v>5.6</v>
      </c>
    </row>
  </sheetData>
  <conditionalFormatting sqref="A2:L121">
    <cfRule type="expression" dxfId="0" priority="2">
      <formula>ISBLANK(A2)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4" customWidth="1"/>
    <col min="2" max="2" width="8" customWidth="1"/>
    <col min="3" max="3" width="9" customWidth="1"/>
    <col min="4" max="11" width="12" customWidth="1"/>
    <col min="12" max="13" width="13" customWidth="1"/>
    <col min="14" max="14" width="11" customWidth="1"/>
  </cols>
  <sheetData>
    <row r="1" spans="1:14" ht="16.8" x14ac:dyDescent="0.3">
      <c r="A1" s="1" t="s">
        <v>171</v>
      </c>
    </row>
    <row r="2" spans="1:14" x14ac:dyDescent="0.3">
      <c r="A2" s="2" t="s">
        <v>172</v>
      </c>
    </row>
    <row r="4" spans="1:14" x14ac:dyDescent="0.3">
      <c r="A4" s="11" t="s">
        <v>2</v>
      </c>
      <c r="B4" s="11" t="s">
        <v>39</v>
      </c>
      <c r="C4" s="11" t="s">
        <v>173</v>
      </c>
      <c r="D4" s="11" t="s">
        <v>174</v>
      </c>
      <c r="E4" s="11" t="s">
        <v>175</v>
      </c>
      <c r="F4" s="11" t="s">
        <v>176</v>
      </c>
      <c r="G4" s="11" t="s">
        <v>177</v>
      </c>
      <c r="H4" s="11" t="s">
        <v>178</v>
      </c>
      <c r="I4" s="11" t="s">
        <v>179</v>
      </c>
      <c r="J4" s="11" t="s">
        <v>180</v>
      </c>
      <c r="K4" s="11" t="s">
        <v>181</v>
      </c>
      <c r="L4" s="11" t="s">
        <v>182</v>
      </c>
      <c r="M4" s="11" t="s">
        <v>183</v>
      </c>
      <c r="N4" s="11" t="s">
        <v>184</v>
      </c>
    </row>
    <row r="5" spans="1:14" x14ac:dyDescent="0.3">
      <c r="A5" s="8" t="s">
        <v>18</v>
      </c>
      <c r="B5" s="8">
        <f>COUNT(Unclean_Data!$D$2:$D$121)</f>
        <v>115</v>
      </c>
      <c r="C5" s="8">
        <f>COUNTBLANK(Unclean_Data!$D$2:$D$121)</f>
        <v>5</v>
      </c>
      <c r="D5" s="12">
        <f>AVERAGE(Unclean_Data!$D$2:$D$121)</f>
        <v>154.95652173913044</v>
      </c>
      <c r="E5" s="12">
        <f>MEDIAN(Unclean_Data!$D$2:$D$121)</f>
        <v>155</v>
      </c>
      <c r="F5" s="12">
        <f>STDEV(Unclean_Data!$D$2:$D$121)</f>
        <v>13.612681976840326</v>
      </c>
      <c r="G5" s="12">
        <f>MIN(Unclean_Data!$D$2:$D$121)</f>
        <v>120</v>
      </c>
      <c r="H5" s="12">
        <f>QUARTILE(Unclean_Data!$D$2:$D$121,1)</f>
        <v>147</v>
      </c>
      <c r="I5" s="12">
        <f>QUARTILE(Unclean_Data!$D$2:$D$121,3)</f>
        <v>163</v>
      </c>
      <c r="J5" s="12">
        <f>MAX(Unclean_Data!$D$2:$D$121)</f>
        <v>215</v>
      </c>
      <c r="K5" s="12">
        <f t="shared" ref="K5:K13" si="0">I5-H5</f>
        <v>16</v>
      </c>
      <c r="L5" s="12">
        <f t="shared" ref="L5:L13" si="1">H5-1.5*K5</f>
        <v>123</v>
      </c>
      <c r="M5" s="12">
        <f t="shared" ref="M5:M13" si="2">I5+1.5*K5</f>
        <v>187</v>
      </c>
      <c r="N5" s="8">
        <f>COUNTIF(Unclean_Data!$D$2:$D$121,"&lt;"&amp;L5)+COUNTIF(Unclean_Data!$D$2:$D$121,"&gt;"&amp;M5)</f>
        <v>2</v>
      </c>
    </row>
    <row r="6" spans="1:14" x14ac:dyDescent="0.3">
      <c r="A6" s="8" t="s">
        <v>22</v>
      </c>
      <c r="B6" s="8">
        <f>COUNT(Unclean_Data!$E$2:$E$121)</f>
        <v>113</v>
      </c>
      <c r="C6" s="8">
        <f>COUNTBLANK(Unclean_Data!$E$2:$E$121)</f>
        <v>7</v>
      </c>
      <c r="D6" s="12">
        <f>AVERAGE(Unclean_Data!$E$2:$E$121)</f>
        <v>6374.3362831858403</v>
      </c>
      <c r="E6" s="12">
        <f>MEDIAN(Unclean_Data!$E$2:$E$121)</f>
        <v>5900</v>
      </c>
      <c r="F6" s="12">
        <f>STDEV(Unclean_Data!$E$2:$E$121)</f>
        <v>4836.7091225236936</v>
      </c>
      <c r="G6" s="12">
        <f>MIN(Unclean_Data!$E$2:$E$121)</f>
        <v>4800</v>
      </c>
      <c r="H6" s="12">
        <f>QUARTILE(Unclean_Data!$E$2:$E$121,1)</f>
        <v>5550</v>
      </c>
      <c r="I6" s="12">
        <f>QUARTILE(Unclean_Data!$E$2:$E$121,3)</f>
        <v>6300</v>
      </c>
      <c r="J6" s="12">
        <f>MAX(Unclean_Data!$E$2:$E$121)</f>
        <v>57000</v>
      </c>
      <c r="K6" s="12">
        <f t="shared" si="0"/>
        <v>750</v>
      </c>
      <c r="L6" s="12">
        <f t="shared" si="1"/>
        <v>4425</v>
      </c>
      <c r="M6" s="12">
        <f t="shared" si="2"/>
        <v>7425</v>
      </c>
      <c r="N6" s="8">
        <f>COUNTIF(Unclean_Data!$E$2:$E$121,"&lt;"&amp;L6)+COUNTIF(Unclean_Data!$E$2:$E$121,"&gt;"&amp;M6)</f>
        <v>1</v>
      </c>
    </row>
    <row r="7" spans="1:14" x14ac:dyDescent="0.3">
      <c r="A7" s="8" t="s">
        <v>25</v>
      </c>
      <c r="B7" s="8">
        <f>COUNT(Unclean_Data!$F$2:$F$121)</f>
        <v>114</v>
      </c>
      <c r="C7" s="8">
        <f>COUNTBLANK(Unclean_Data!$F$2:$F$121)</f>
        <v>6</v>
      </c>
      <c r="D7" s="12">
        <f>AVERAGE(Unclean_Data!$F$2:$F$121)</f>
        <v>19.394736842105264</v>
      </c>
      <c r="E7" s="12">
        <f>MEDIAN(Unclean_Data!$F$2:$F$121)</f>
        <v>16</v>
      </c>
      <c r="F7" s="12">
        <f>STDEV(Unclean_Data!$F$2:$F$121)</f>
        <v>35.88837621396749</v>
      </c>
      <c r="G7" s="12">
        <f>MIN(Unclean_Data!$F$2:$F$121)</f>
        <v>-45</v>
      </c>
      <c r="H7" s="12">
        <f>QUARTILE(Unclean_Data!$F$2:$F$121,1)</f>
        <v>9</v>
      </c>
      <c r="I7" s="12">
        <f>QUARTILE(Unclean_Data!$F$2:$F$121,3)</f>
        <v>23.75</v>
      </c>
      <c r="J7" s="12">
        <f>MAX(Unclean_Data!$F$2:$F$121)</f>
        <v>380</v>
      </c>
      <c r="K7" s="12">
        <f t="shared" si="0"/>
        <v>14.75</v>
      </c>
      <c r="L7" s="12">
        <f t="shared" si="1"/>
        <v>-13.125</v>
      </c>
      <c r="M7" s="12">
        <f t="shared" si="2"/>
        <v>45.875</v>
      </c>
      <c r="N7" s="8">
        <f>COUNTIF(Unclean_Data!$F$2:$F$121,"&lt;"&amp;L7)+COUNTIF(Unclean_Data!$F$2:$F$121,"&gt;"&amp;M7)</f>
        <v>2</v>
      </c>
    </row>
    <row r="8" spans="1:14" x14ac:dyDescent="0.3">
      <c r="A8" s="8" t="s">
        <v>28</v>
      </c>
      <c r="B8" s="8">
        <f>COUNT(Unclean_Data!$G$2:$G$121)</f>
        <v>116</v>
      </c>
      <c r="C8" s="8">
        <f>COUNTBLANK(Unclean_Data!$G$2:$G$121)</f>
        <v>4</v>
      </c>
      <c r="D8" s="12">
        <f>AVERAGE(Unclean_Data!$G$2:$G$121)</f>
        <v>157.18965517241378</v>
      </c>
      <c r="E8" s="12">
        <f>MEDIAN(Unclean_Data!$G$2:$G$121)</f>
        <v>165</v>
      </c>
      <c r="F8" s="12">
        <f>STDEV(Unclean_Data!$G$2:$G$121)</f>
        <v>30.011566985473113</v>
      </c>
      <c r="G8" s="12">
        <f>MIN(Unclean_Data!$G$2:$G$121)</f>
        <v>122</v>
      </c>
      <c r="H8" s="12">
        <f>QUARTILE(Unclean_Data!$G$2:$G$121,1)</f>
        <v>132</v>
      </c>
      <c r="I8" s="12">
        <f>QUARTILE(Unclean_Data!$G$2:$G$121,3)</f>
        <v>170</v>
      </c>
      <c r="J8" s="12">
        <f>MAX(Unclean_Data!$G$2:$G$121)</f>
        <v>410</v>
      </c>
      <c r="K8" s="12">
        <f t="shared" si="0"/>
        <v>38</v>
      </c>
      <c r="L8" s="12">
        <f t="shared" si="1"/>
        <v>75</v>
      </c>
      <c r="M8" s="12">
        <f t="shared" si="2"/>
        <v>227</v>
      </c>
      <c r="N8" s="8">
        <f>COUNTIF(Unclean_Data!$G$2:$G$121,"&lt;"&amp;L8)+COUNTIF(Unclean_Data!$G$2:$G$121,"&gt;"&amp;M8)</f>
        <v>1</v>
      </c>
    </row>
    <row r="9" spans="1:14" x14ac:dyDescent="0.3">
      <c r="A9" s="8" t="s">
        <v>31</v>
      </c>
      <c r="B9" s="8">
        <f>COUNT(Unclean_Data!$H$2:$H$121)</f>
        <v>114</v>
      </c>
      <c r="C9" s="8">
        <f>COUNTBLANK(Unclean_Data!$H$2:$H$121)</f>
        <v>6</v>
      </c>
      <c r="D9" s="12">
        <f>AVERAGE(Unclean_Data!$H$2:$H$121)</f>
        <v>511.21929824561403</v>
      </c>
      <c r="E9" s="12">
        <f>MEDIAN(Unclean_Data!$H$2:$H$121)</f>
        <v>530</v>
      </c>
      <c r="F9" s="12">
        <f>STDEV(Unclean_Data!$H$2:$H$121)</f>
        <v>78.027537545615189</v>
      </c>
      <c r="G9" s="12">
        <f>MIN(Unclean_Data!$H$2:$H$121)</f>
        <v>398</v>
      </c>
      <c r="H9" s="12">
        <f>QUARTILE(Unclean_Data!$H$2:$H$121,1)</f>
        <v>433</v>
      </c>
      <c r="I9" s="12">
        <f>QUARTILE(Unclean_Data!$H$2:$H$121,3)</f>
        <v>563.75</v>
      </c>
      <c r="J9" s="12">
        <f>MAX(Unclean_Data!$H$2:$H$121)</f>
        <v>980</v>
      </c>
      <c r="K9" s="12">
        <f t="shared" si="0"/>
        <v>130.75</v>
      </c>
      <c r="L9" s="12">
        <f t="shared" si="1"/>
        <v>236.875</v>
      </c>
      <c r="M9" s="12">
        <f t="shared" si="2"/>
        <v>759.875</v>
      </c>
      <c r="N9" s="8">
        <f>COUNTIF(Unclean_Data!$H$2:$H$121,"&lt;"&amp;L9)+COUNTIF(Unclean_Data!$H$2:$H$121,"&gt;"&amp;M9)</f>
        <v>1</v>
      </c>
    </row>
    <row r="10" spans="1:14" x14ac:dyDescent="0.3">
      <c r="A10" s="8" t="s">
        <v>34</v>
      </c>
      <c r="B10" s="8">
        <f>COUNT(Unclean_Data!$I$2:$I$121)</f>
        <v>114</v>
      </c>
      <c r="C10" s="8">
        <f>COUNTBLANK(Unclean_Data!$I$2:$I$121)</f>
        <v>6</v>
      </c>
      <c r="D10" s="12">
        <f>AVERAGE(Unclean_Data!$I$2:$I$121)</f>
        <v>59615.789473684214</v>
      </c>
      <c r="E10" s="12">
        <f>MEDIAN(Unclean_Data!$I$2:$I$121)</f>
        <v>58800</v>
      </c>
      <c r="F10" s="12">
        <f>STDEV(Unclean_Data!$I$2:$I$121)</f>
        <v>11182.331029231875</v>
      </c>
      <c r="G10" s="12">
        <f>MIN(Unclean_Data!$I$2:$I$121)</f>
        <v>37900</v>
      </c>
      <c r="H10" s="12">
        <f>QUARTILE(Unclean_Data!$I$2:$I$121,1)</f>
        <v>54425</v>
      </c>
      <c r="I10" s="12">
        <f>QUARTILE(Unclean_Data!$I$2:$I$121,3)</f>
        <v>64225</v>
      </c>
      <c r="J10" s="12">
        <f>MAX(Unclean_Data!$I$2:$I$121)</f>
        <v>148000</v>
      </c>
      <c r="K10" s="12">
        <f t="shared" si="0"/>
        <v>9800</v>
      </c>
      <c r="L10" s="12">
        <f t="shared" si="1"/>
        <v>39725</v>
      </c>
      <c r="M10" s="12">
        <f t="shared" si="2"/>
        <v>78925</v>
      </c>
      <c r="N10" s="8">
        <f>COUNTIF(Unclean_Data!$I$2:$I$121,"&lt;"&amp;L10)+COUNTIF(Unclean_Data!$I$2:$I$121,"&gt;"&amp;M10)</f>
        <v>3</v>
      </c>
    </row>
    <row r="11" spans="1:14" x14ac:dyDescent="0.3">
      <c r="A11" s="8" t="s">
        <v>36</v>
      </c>
      <c r="B11" s="8">
        <f>COUNT(Unclean_Data!$J$2:$J$121)</f>
        <v>115</v>
      </c>
      <c r="C11" s="8">
        <f>COUNTBLANK(Unclean_Data!$J$2:$J$121)</f>
        <v>5</v>
      </c>
      <c r="D11" s="12">
        <f>AVERAGE(Unclean_Data!$J$2:$J$121)</f>
        <v>3.1043478260869564</v>
      </c>
      <c r="E11" s="12">
        <f>MEDIAN(Unclean_Data!$J$2:$J$121)</f>
        <v>3</v>
      </c>
      <c r="F11" s="12">
        <f>STDEV(Unclean_Data!$J$2:$J$121)</f>
        <v>2.411136126769994</v>
      </c>
      <c r="G11" s="12">
        <f>MIN(Unclean_Data!$J$2:$J$121)</f>
        <v>0</v>
      </c>
      <c r="H11" s="12">
        <f>QUARTILE(Unclean_Data!$J$2:$J$121,1)</f>
        <v>2</v>
      </c>
      <c r="I11" s="12">
        <f>QUARTILE(Unclean_Data!$J$2:$J$121,3)</f>
        <v>4</v>
      </c>
      <c r="J11" s="12">
        <f>MAX(Unclean_Data!$J$2:$J$121)</f>
        <v>19</v>
      </c>
      <c r="K11" s="12">
        <f t="shared" si="0"/>
        <v>2</v>
      </c>
      <c r="L11" s="12">
        <f t="shared" si="1"/>
        <v>-1</v>
      </c>
      <c r="M11" s="12">
        <f t="shared" si="2"/>
        <v>7</v>
      </c>
      <c r="N11" s="8">
        <f>COUNTIF(Unclean_Data!$J$2:$J$121,"&lt;"&amp;L11)+COUNTIF(Unclean_Data!$J$2:$J$121,"&gt;"&amp;M11)</f>
        <v>6</v>
      </c>
    </row>
    <row r="12" spans="1:14" x14ac:dyDescent="0.3">
      <c r="A12" s="8" t="s">
        <v>40</v>
      </c>
      <c r="B12" s="8">
        <f>COUNT(Unclean_Data!$K$2:$K$121)</f>
        <v>113</v>
      </c>
      <c r="C12" s="8">
        <f>COUNTBLANK(Unclean_Data!$K$2:$K$121)</f>
        <v>7</v>
      </c>
      <c r="D12" s="12">
        <f>AVERAGE(Unclean_Data!$K$2:$K$121)</f>
        <v>4.1743362831858413</v>
      </c>
      <c r="E12" s="12">
        <f>MEDIAN(Unclean_Data!$K$2:$K$121)</f>
        <v>4.0999999999999996</v>
      </c>
      <c r="F12" s="12">
        <f>STDEV(Unclean_Data!$K$2:$K$121)</f>
        <v>0.55818243962338587</v>
      </c>
      <c r="G12" s="12">
        <f>MIN(Unclean_Data!$K$2:$K$121)</f>
        <v>3.5</v>
      </c>
      <c r="H12" s="12">
        <f>QUARTILE(Unclean_Data!$K$2:$K$121,1)</f>
        <v>4</v>
      </c>
      <c r="I12" s="12">
        <f>QUARTILE(Unclean_Data!$K$2:$K$121,3)</f>
        <v>4.3</v>
      </c>
      <c r="J12" s="12">
        <f>MAX(Unclean_Data!$K$2:$K$121)</f>
        <v>9.4</v>
      </c>
      <c r="K12" s="12">
        <f t="shared" si="0"/>
        <v>0.29999999999999982</v>
      </c>
      <c r="L12" s="12">
        <f t="shared" si="1"/>
        <v>3.5500000000000003</v>
      </c>
      <c r="M12" s="12">
        <f t="shared" si="2"/>
        <v>4.75</v>
      </c>
      <c r="N12" s="8">
        <f>COUNTIF(Unclean_Data!$K$2:$K$121,"&lt;"&amp;L12)+COUNTIF(Unclean_Data!$K$2:$K$121,"&gt;"&amp;M12)</f>
        <v>2</v>
      </c>
    </row>
    <row r="13" spans="1:14" x14ac:dyDescent="0.3">
      <c r="A13" s="8" t="s">
        <v>43</v>
      </c>
      <c r="B13" s="8">
        <f>COUNT(Unclean_Data!$L$2:$L$121)</f>
        <v>112</v>
      </c>
      <c r="C13" s="8">
        <f>COUNTBLANK(Unclean_Data!$L$2:$L$121)</f>
        <v>8</v>
      </c>
      <c r="D13" s="12">
        <f>AVERAGE(Unclean_Data!$L$2:$L$121)</f>
        <v>6.4785714285714322</v>
      </c>
      <c r="E13" s="12">
        <f>MEDIAN(Unclean_Data!$L$2:$L$121)</f>
        <v>6.1</v>
      </c>
      <c r="F13" s="12">
        <f>STDEV(Unclean_Data!$L$2:$L$121)</f>
        <v>2.8053818474794601</v>
      </c>
      <c r="G13" s="12">
        <f>MIN(Unclean_Data!$L$2:$L$121)</f>
        <v>2.8</v>
      </c>
      <c r="H13" s="12">
        <f>QUARTILE(Unclean_Data!$L$2:$L$121,1)</f>
        <v>5.2</v>
      </c>
      <c r="I13" s="12">
        <f>QUARTILE(Unclean_Data!$L$2:$L$121,3)</f>
        <v>7.3</v>
      </c>
      <c r="J13" s="12">
        <f>MAX(Unclean_Data!$L$2:$L$121)</f>
        <v>31.5</v>
      </c>
      <c r="K13" s="12">
        <f t="shared" si="0"/>
        <v>2.0999999999999996</v>
      </c>
      <c r="L13" s="12">
        <f t="shared" si="1"/>
        <v>2.0500000000000007</v>
      </c>
      <c r="M13" s="12">
        <f t="shared" si="2"/>
        <v>10.45</v>
      </c>
      <c r="N13" s="8">
        <f>COUNTIF(Unclean_Data!$L$2:$L$121,"&lt;"&amp;L13)+COUNTIF(Unclean_Data!$L$2:$L$121,"&gt;"&amp;M13)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Unclean_Data</vt:lpstr>
      <vt:lpstr>Excel_Stats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Anjali Tiwari</cp:lastModifiedBy>
  <cp:revision>0</cp:revision>
  <dcterms:created xsi:type="dcterms:W3CDTF">2026-10-18T15:01:41Z</dcterms:created>
  <dcterms:modified xsi:type="dcterms:W3CDTF">2026-10-22T09:19:48Z</dcterms:modified>
  <dc:language>en-US</dc:language>
</cp:coreProperties>
</file>